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Predictor" sheetId="2" state="visible" r:id="rId4"/>
    <sheet name="Summary" sheetId="3" state="visible" r:id="rId5"/>
    <sheet name="Formula Guide" sheetId="4" state="visible" r:id="rId6"/>
  </sheets>
  <definedNames>
    <definedName function="false" hidden="true" localSheetId="0" name="_xlnm._FilterDatabase" vbProcedure="false">Questions!$A$1:$H$151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<sst xmlns="http://schemas.openxmlformats.org/spreadsheetml/2006/main" count="545" uniqueCount="387">
  <si>
    <t xml:space="preserve">ID</t>
  </si>
  <si>
    <t xml:space="preserve">Difficulty</t>
  </si>
  <si>
    <t xml:space="preserve">Question</t>
  </si>
  <si>
    <t xml:space="preserve">Est. input tokens</t>
  </si>
  <si>
    <t xml:space="preserve">Predicted output tokens</t>
  </si>
  <si>
    <t xml:space="preserve">Class</t>
  </si>
  <si>
    <t xml:space="preserve">Actual output tokens (fill after test)</t>
  </si>
  <si>
    <t xml:space="preserve">Error %</t>
  </si>
  <si>
    <t xml:space="preserve">Q001</t>
  </si>
  <si>
    <t xml:space="preserve">Easy</t>
  </si>
  <si>
    <t xml:space="preserve">What is the capital of France?</t>
  </si>
  <si>
    <t xml:space="preserve">Q002</t>
  </si>
  <si>
    <t xml:space="preserve">What is 12 multiplied by 8?</t>
  </si>
  <si>
    <t xml:space="preserve">Q003</t>
  </si>
  <si>
    <t xml:space="preserve">Name the largest planet in our solar system.</t>
  </si>
  <si>
    <t xml:space="preserve">Q004</t>
  </si>
  <si>
    <t xml:space="preserve">Who wrote the play Romeo and Juliet?</t>
  </si>
  <si>
    <t xml:space="preserve">Q005</t>
  </si>
  <si>
    <t xml:space="preserve">What is the chemical symbol for gold?</t>
  </si>
  <si>
    <t xml:space="preserve">Q006</t>
  </si>
  <si>
    <t xml:space="preserve">How many days are there in a leap year?</t>
  </si>
  <si>
    <t xml:space="preserve">Q007</t>
  </si>
  <si>
    <t xml:space="preserve">What color do you get by mixing blue and yellow?</t>
  </si>
  <si>
    <t xml:space="preserve">Q008</t>
  </si>
  <si>
    <t xml:space="preserve">What is the opposite of "ancient"?</t>
  </si>
  <si>
    <t xml:space="preserve">Q009</t>
  </si>
  <si>
    <t xml:space="preserve">Translate "good morning" into Spanish.</t>
  </si>
  <si>
    <t xml:space="preserve">Q010</t>
  </si>
  <si>
    <t xml:space="preserve">What is the boiling point of water in Celsius?</t>
  </si>
  <si>
    <t xml:space="preserve">Q011</t>
  </si>
  <si>
    <t xml:space="preserve">Which ocean is the largest?</t>
  </si>
  <si>
    <t xml:space="preserve">Q012</t>
  </si>
  <si>
    <t xml:space="preserve">What is the square root of 81?</t>
  </si>
  <si>
    <t xml:space="preserve">Q013</t>
  </si>
  <si>
    <t xml:space="preserve">Name three primary colors.</t>
  </si>
  <si>
    <t xml:space="preserve">Q014</t>
  </si>
  <si>
    <t xml:space="preserve">What is the plural of "child"?</t>
  </si>
  <si>
    <t xml:space="preserve">Q015</t>
  </si>
  <si>
    <t xml:space="preserve">Who painted the Mona Lisa?</t>
  </si>
  <si>
    <t xml:space="preserve">Q016</t>
  </si>
  <si>
    <t xml:space="preserve">How many continents are there?</t>
  </si>
  <si>
    <t xml:space="preserve">Q017</t>
  </si>
  <si>
    <t xml:space="preserve">What is the freezing point of water in Fahrenheit?</t>
  </si>
  <si>
    <t xml:space="preserve">Q018</t>
  </si>
  <si>
    <t xml:space="preserve">Which gas do plants absorb from the air?</t>
  </si>
  <si>
    <t xml:space="preserve">Q019</t>
  </si>
  <si>
    <t xml:space="preserve">Which planet is known as the Red Planet?</t>
  </si>
  <si>
    <t xml:space="preserve">Q020</t>
  </si>
  <si>
    <t xml:space="preserve">What is the past tense of "run"?</t>
  </si>
  <si>
    <t xml:space="preserve">Q021</t>
  </si>
  <si>
    <t xml:space="preserve">How many sides does a hexagon have?</t>
  </si>
  <si>
    <t xml:space="preserve">Q022</t>
  </si>
  <si>
    <t xml:space="preserve">What is the capital of Japan?</t>
  </si>
  <si>
    <t xml:space="preserve">Q023</t>
  </si>
  <si>
    <t xml:space="preserve">What does CPU stand for?</t>
  </si>
  <si>
    <t xml:space="preserve">Q024</t>
  </si>
  <si>
    <t xml:space="preserve">What does HTML stand for?</t>
  </si>
  <si>
    <t xml:space="preserve">Q025</t>
  </si>
  <si>
    <t xml:space="preserve">Which is bigger, 0.5 or 0.25?</t>
  </si>
  <si>
    <t xml:space="preserve">Q026</t>
  </si>
  <si>
    <t xml:space="preserve">Give one synonym for "happy".</t>
  </si>
  <si>
    <t xml:space="preserve">Q027</t>
  </si>
  <si>
    <t xml:space="preserve">What is the largest mammal on Earth?</t>
  </si>
  <si>
    <t xml:space="preserve">Q028</t>
  </si>
  <si>
    <t xml:space="preserve">How many minutes are in two hours?</t>
  </si>
  <si>
    <t xml:space="preserve">Q029</t>
  </si>
  <si>
    <t xml:space="preserve">What is the currency of the United Kingdom?</t>
  </si>
  <si>
    <t xml:space="preserve">Q030</t>
  </si>
  <si>
    <t xml:space="preserve">Which scientist is famous for the theory of relativity?</t>
  </si>
  <si>
    <t xml:space="preserve">Q031</t>
  </si>
  <si>
    <t xml:space="preserve">What is the main language spoken in Brazil?</t>
  </si>
  <si>
    <t xml:space="preserve">Q032</t>
  </si>
  <si>
    <t xml:space="preserve">What is 15% of 200?</t>
  </si>
  <si>
    <t xml:space="preserve">Q033</t>
  </si>
  <si>
    <t xml:space="preserve">Name the four seasons.</t>
  </si>
  <si>
    <t xml:space="preserve">Q034</t>
  </si>
  <si>
    <t xml:space="preserve">Which organ pumps blood through the human body?</t>
  </si>
  <si>
    <t xml:space="preserve">Q035</t>
  </si>
  <si>
    <t xml:space="preserve">What is the abbreviation for kilometer?</t>
  </si>
  <si>
    <t xml:space="preserve">Q036</t>
  </si>
  <si>
    <t xml:space="preserve">What is the capital of India?</t>
  </si>
  <si>
    <t xml:space="preserve">Q037</t>
  </si>
  <si>
    <t xml:space="preserve">How many letters are in the English alphabet?</t>
  </si>
  <si>
    <t xml:space="preserve">Q038</t>
  </si>
  <si>
    <t xml:space="preserve">What is H2O commonly called?</t>
  </si>
  <si>
    <t xml:space="preserve">Q039</t>
  </si>
  <si>
    <t xml:space="preserve">In which direction does the sun rise?</t>
  </si>
  <si>
    <t xml:space="preserve">Q040</t>
  </si>
  <si>
    <t xml:space="preserve">What is 100 divided by 4?</t>
  </si>
  <si>
    <t xml:space="preserve">Q041</t>
  </si>
  <si>
    <t xml:space="preserve">What does RAM stand for?</t>
  </si>
  <si>
    <t xml:space="preserve">Q042</t>
  </si>
  <si>
    <t xml:space="preserve">Name the first month of the year.</t>
  </si>
  <si>
    <t xml:space="preserve">Q043</t>
  </si>
  <si>
    <t xml:space="preserve">What is the smallest prime number?</t>
  </si>
  <si>
    <t xml:space="preserve">Q044</t>
  </si>
  <si>
    <t xml:space="preserve">Which animal is known as the king of the jungle?</t>
  </si>
  <si>
    <t xml:space="preserve">Q045</t>
  </si>
  <si>
    <t xml:space="preserve">What is the file extension for a Python script?</t>
  </si>
  <si>
    <t xml:space="preserve">Q046</t>
  </si>
  <si>
    <t xml:space="preserve">What does HTTP stand for?</t>
  </si>
  <si>
    <t xml:space="preserve">Q047</t>
  </si>
  <si>
    <t xml:space="preserve">What is 7 squared?</t>
  </si>
  <si>
    <t xml:space="preserve">Q048</t>
  </si>
  <si>
    <t xml:space="preserve">Which river is the longest in Africa?</t>
  </si>
  <si>
    <t xml:space="preserve">Q049</t>
  </si>
  <si>
    <t xml:space="preserve">What is the opposite of "increase"?</t>
  </si>
  <si>
    <t xml:space="preserve">Q050</t>
  </si>
  <si>
    <t xml:space="preserve">What is the capital city of Tamil Nadu?</t>
  </si>
  <si>
    <t xml:space="preserve">Q051</t>
  </si>
  <si>
    <t xml:space="preserve">Medium</t>
  </si>
  <si>
    <t xml:space="preserve">Explain the difference between a process and a thread.</t>
  </si>
  <si>
    <t xml:space="preserve">Q052</t>
  </si>
  <si>
    <t xml:space="preserve">Summarize the causes of World War I in one paragraph.</t>
  </si>
  <si>
    <t xml:space="preserve">Q053</t>
  </si>
  <si>
    <t xml:space="preserve">Explain how photosynthesis works in simple terms.</t>
  </si>
  <si>
    <t xml:space="preserve">Q054</t>
  </si>
  <si>
    <t xml:space="preserve">Compare SQL and NoSQL databases and give one use case for each.</t>
  </si>
  <si>
    <t xml:space="preserve">Q055</t>
  </si>
  <si>
    <t xml:space="preserve">Explain what an API is to a beginner.</t>
  </si>
  <si>
    <t xml:space="preserve">Q056</t>
  </si>
  <si>
    <t xml:space="preserve">Write a Python function that checks whether a string is a palindrome.</t>
  </si>
  <si>
    <t xml:space="preserve">Q057</t>
  </si>
  <si>
    <t xml:space="preserve">Describe the water cycle step by step.</t>
  </si>
  <si>
    <t xml:space="preserve">Q058</t>
  </si>
  <si>
    <t xml:space="preserve">Explain the difference between TCP and UDP.</t>
  </si>
  <si>
    <t xml:space="preserve">Q059</t>
  </si>
  <si>
    <t xml:space="preserve">What are the benefits and drawbacks of remote work? Give three of each.</t>
  </si>
  <si>
    <t xml:space="preserve">Q060</t>
  </si>
  <si>
    <t xml:space="preserve">Explain what Big-O notation means with two examples.</t>
  </si>
  <si>
    <t xml:space="preserve">Q061</t>
  </si>
  <si>
    <t xml:space="preserve">Write a short email asking my manager for a day off next Friday.</t>
  </si>
  <si>
    <t xml:space="preserve">Q062</t>
  </si>
  <si>
    <t xml:space="preserve">Explain how a binary search works and why it is fast.</t>
  </si>
  <si>
    <t xml:space="preserve">Q063</t>
  </si>
  <si>
    <t xml:space="preserve">Describe how vaccines train the immune system.</t>
  </si>
  <si>
    <t xml:space="preserve">Q064</t>
  </si>
  <si>
    <t xml:space="preserve">Explain the difference between supervised and unsupervised learning with an example of each.</t>
  </si>
  <si>
    <t xml:space="preserve">Q065</t>
  </si>
  <si>
    <t xml:space="preserve">Write a SQL query to find the top 5 customers by total order value.</t>
  </si>
  <si>
    <t xml:space="preserve">Q066</t>
  </si>
  <si>
    <t xml:space="preserve">Explain what inflation is and how it affects savings.</t>
  </si>
  <si>
    <t xml:space="preserve">Q067</t>
  </si>
  <si>
    <t xml:space="preserve">List five tips for preparing for a technical interview and explain each briefly.</t>
  </si>
  <si>
    <t xml:space="preserve">Q068</t>
  </si>
  <si>
    <t xml:space="preserve">Explain what Docker containers are and how they differ from virtual machines.</t>
  </si>
  <si>
    <t xml:space="preserve">Q069</t>
  </si>
  <si>
    <t xml:space="preserve">Describe the main differences between Python lists and tuples.</t>
  </si>
  <si>
    <t xml:space="preserve">Q070</t>
  </si>
  <si>
    <t xml:space="preserve">Explain how HTTPS keeps data secure in simple terms.</t>
  </si>
  <si>
    <t xml:space="preserve">Q071</t>
  </si>
  <si>
    <t xml:space="preserve">Write a JavaScript function that removes duplicates from an array.</t>
  </si>
  <si>
    <t xml:space="preserve">Q072</t>
  </si>
  <si>
    <t xml:space="preserve">Explain the concept of supply and demand with an example.</t>
  </si>
  <si>
    <t xml:space="preserve">Q073</t>
  </si>
  <si>
    <t xml:space="preserve">Describe the stages of the software development life cycle.</t>
  </si>
  <si>
    <t xml:space="preserve">Q074</t>
  </si>
  <si>
    <t xml:space="preserve">Explain what a REST API is and list its common HTTP methods.</t>
  </si>
  <si>
    <t xml:space="preserve">Q075</t>
  </si>
  <si>
    <t xml:space="preserve">Write a short product description for a reusable steel water bottle.</t>
  </si>
  <si>
    <t xml:space="preserve">Q076</t>
  </si>
  <si>
    <t xml:space="preserve">Explain the difference between renewable and non-renewable energy with examples.</t>
  </si>
  <si>
    <t xml:space="preserve">Q077</t>
  </si>
  <si>
    <t xml:space="preserve">Explain how a hash table works.</t>
  </si>
  <si>
    <t xml:space="preserve">Q078</t>
  </si>
  <si>
    <t xml:space="preserve">Summarize the main causes and effects of climate change.</t>
  </si>
  <si>
    <t xml:space="preserve">Q079</t>
  </si>
  <si>
    <t xml:space="preserve">Explain what overfitting is in machine learning and how to reduce it.</t>
  </si>
  <si>
    <t xml:space="preserve">Q080</t>
  </si>
  <si>
    <t xml:space="preserve">Write a Python script that reads a CSV file and prints the average of a column.</t>
  </si>
  <si>
    <t xml:space="preserve">Q081</t>
  </si>
  <si>
    <t xml:space="preserve">Explain the difference between a stack and a queue with real-life examples.</t>
  </si>
  <si>
    <t xml:space="preserve">Q082</t>
  </si>
  <si>
    <t xml:space="preserve">Describe how a bill becomes law in a parliamentary democracy.</t>
  </si>
  <si>
    <t xml:space="preserve">Q083</t>
  </si>
  <si>
    <t xml:space="preserve">Explain what load balancing is and name three common strategies.</t>
  </si>
  <si>
    <t xml:space="preserve">Q084</t>
  </si>
  <si>
    <t xml:space="preserve">Give a step-by-step recipe for making simple tomato pasta.</t>
  </si>
  <si>
    <t xml:space="preserve">Q085</t>
  </si>
  <si>
    <t xml:space="preserve">Explain what Git branching is and why teams use it.</t>
  </si>
  <si>
    <t xml:space="preserve">Q086</t>
  </si>
  <si>
    <t xml:space="preserve">Compare electric cars and petrol cars in terms of cost and environment.</t>
  </si>
  <si>
    <t xml:space="preserve">Q087</t>
  </si>
  <si>
    <t xml:space="preserve">Explain the difference between authentication and authorization.</t>
  </si>
  <si>
    <t xml:space="preserve">Q088</t>
  </si>
  <si>
    <t xml:space="preserve">Write an opening paragraph of a cover letter for a junior software developer role.</t>
  </si>
  <si>
    <t xml:space="preserve">Q089</t>
  </si>
  <si>
    <t xml:space="preserve">Explain how the human digestive system processes food.</t>
  </si>
  <si>
    <t xml:space="preserve">Q090</t>
  </si>
  <si>
    <t xml:space="preserve">Describe what the circuit breaker pattern is in microservices.</t>
  </si>
  <si>
    <t xml:space="preserve">Q091</t>
  </si>
  <si>
    <t xml:space="preserve">Explain the difference between RAM and storage.</t>
  </si>
  <si>
    <t xml:space="preserve">Q092</t>
  </si>
  <si>
    <t xml:space="preserve">Explain what recursion is and show a factorial example in Python.</t>
  </si>
  <si>
    <t xml:space="preserve">Q093</t>
  </si>
  <si>
    <t xml:space="preserve">Summarize the main idea of the theory of evolution by natural selection.</t>
  </si>
  <si>
    <t xml:space="preserve">Q094</t>
  </si>
  <si>
    <t xml:space="preserve">Explain how caching improves application performance and name two risks.</t>
  </si>
  <si>
    <t xml:space="preserve">Q095</t>
  </si>
  <si>
    <t xml:space="preserve">Describe the role of a DNS server when you open a website.</t>
  </si>
  <si>
    <t xml:space="preserve">Q096</t>
  </si>
  <si>
    <t xml:space="preserve">Write a regular expression to validate an email address and explain each part.</t>
  </si>
  <si>
    <t xml:space="preserve">Q097</t>
  </si>
  <si>
    <t xml:space="preserve">Explain what a token is in the context of large language models.</t>
  </si>
  <si>
    <t xml:space="preserve">Q098</t>
  </si>
  <si>
    <t xml:space="preserve">Compare agile and waterfall project management approaches.</t>
  </si>
  <si>
    <t xml:space="preserve">Q099</t>
  </si>
  <si>
    <t xml:space="preserve">Explain the difference between latency and throughput.</t>
  </si>
  <si>
    <t xml:space="preserve">Q100</t>
  </si>
  <si>
    <t xml:space="preserve">Describe five good habits for keeping a personal computer secure.</t>
  </si>
  <si>
    <t xml:space="preserve">Q101</t>
  </si>
  <si>
    <t xml:space="preserve">Hard</t>
  </si>
  <si>
    <t xml:space="preserve">Write a detailed essay on the impact of artificial intelligence on employment over the next decade, with examples, counterarguments and a conclusion.</t>
  </si>
  <si>
    <t xml:space="preserve">Q102</t>
  </si>
  <si>
    <t xml:space="preserve">Implement a complete LRU cache in Python with O(1) get and put operations, including type hints, docstrings and unit tests.</t>
  </si>
  <si>
    <t xml:space="preserve">Q103</t>
  </si>
  <si>
    <t xml:space="preserve">Design the architecture of a scalable URL shortener that handles 100 million requests per day, covering database choice, caching, ID generation and failure handling.</t>
  </si>
  <si>
    <t xml:space="preserve">Q104</t>
  </si>
  <si>
    <t xml:space="preserve">Explain in detail how the Raft consensus algorithm works, including leader election, log replication and safety guarantees, with an example scenario.</t>
  </si>
  <si>
    <t xml:space="preserve">Q105</t>
  </si>
  <si>
    <t xml:space="preserve">Write a detailed step-by-step tutorial on building a REST API with FastAPI, including authentication, database models and testing.</t>
  </si>
  <si>
    <t xml:space="preserve">Q106</t>
  </si>
  <si>
    <t xml:space="preserve">Compare monolithic, microservice and serverless architectures in depth, covering trade-offs, costs, team size and migration strategies.</t>
  </si>
  <si>
    <t xml:space="preserve">Q107</t>
  </si>
  <si>
    <t xml:space="preserve">Write a short story of about 800 words about a robot that learns to paint.</t>
  </si>
  <si>
    <t xml:space="preserve">Q108</t>
  </si>
  <si>
    <t xml:space="preserve">Analyze the causes, major events and long-term consequences of the French Revolution in detail.</t>
  </si>
  <si>
    <t xml:space="preserve">Q109</t>
  </si>
  <si>
    <t xml:space="preserve">Implement Dijkstra's algorithm in Python with a priority queue, explain its time complexity and test it on a sample graph.</t>
  </si>
  <si>
    <t xml:space="preserve">Q110</t>
  </si>
  <si>
    <t xml:space="preserve">Write a comprehensive guide to preparing for a system design interview, with a framework, common pitfalls and three worked examples.</t>
  </si>
  <si>
    <t xml:space="preserve">Q111</t>
  </si>
  <si>
    <t xml:space="preserve">Explain the transformer architecture in detail, including self-attention, multi-head attention, positional encoding and how training works.</t>
  </si>
  <si>
    <t xml:space="preserve">Q112</t>
  </si>
  <si>
    <t xml:space="preserve">Design a database schema for an online learning platform with courses, students, instructors, payments and progress tracking, and write the SQL to create all tables.</t>
  </si>
  <si>
    <t xml:space="preserve">Q113</t>
  </si>
  <si>
    <t xml:space="preserve">Write a detailed business plan for a small cloud-kitchen startup, including market analysis, costs, marketing and risk assessment.</t>
  </si>
  <si>
    <t xml:space="preserve">Q114</t>
  </si>
  <si>
    <t xml:space="preserve">Prove step by step that the square root of 2 is irrational, then explain why the proof works.</t>
  </si>
  <si>
    <t xml:space="preserve">Q115</t>
  </si>
  <si>
    <t xml:space="preserve">Write a detailed comparison of Kubernetes, Docker Swarm and Nomad covering architecture, scaling, networking and operational complexity.</t>
  </si>
  <si>
    <t xml:space="preserve">Q116</t>
  </si>
  <si>
    <t xml:space="preserve">Implement a thread-safe producer-consumer queue in Python using asyncio and explain how it avoids deadlocks and race conditions.</t>
  </si>
  <si>
    <t xml:space="preserve">Q117</t>
  </si>
  <si>
    <t xml:space="preserve">Describe in depth how a modern CPU executes instructions, including pipelining, branch prediction, caches and out-of-order execution.</t>
  </si>
  <si>
    <t xml:space="preserve">Q118</t>
  </si>
  <si>
    <t xml:space="preserve">Write a detailed incident postmortem for a fictional outage caused by a misconfigured load balancer, including timeline, root cause and action items.</t>
  </si>
  <si>
    <t xml:space="preserve">Q119</t>
  </si>
  <si>
    <t xml:space="preserve">Explain the main approaches to distributed database consistency, including the CAP theorem, eventual consistency and consensus, with examples.</t>
  </si>
  <si>
    <t xml:space="preserve">Q120</t>
  </si>
  <si>
    <t xml:space="preserve">Write a 10-day itinerary for traveling across South India, with daily schedules, travel tips and an approximate budget.</t>
  </si>
  <si>
    <t xml:space="preserve">Q121</t>
  </si>
  <si>
    <t xml:space="preserve">Implement a basic byte-pair-encoding tokenizer in Python and explain each step of the algorithm.</t>
  </si>
  <si>
    <t xml:space="preserve">Q122</t>
  </si>
  <si>
    <t xml:space="preserve">Discuss the ethical challenges of facial recognition in public spaces, presenting arguments from several perspectives and a balanced conclusion.</t>
  </si>
  <si>
    <t xml:space="preserve">Q123</t>
  </si>
  <si>
    <t xml:space="preserve">Design a monitoring and alerting strategy for a microservice system, covering metrics, logs, traces, dashboards, SLOs and on-call policies.</t>
  </si>
  <si>
    <t xml:space="preserve">Q124</t>
  </si>
  <si>
    <t xml:space="preserve">Explain in detail how public-key cryptography works, including RSA key generation, encryption, signing and common attacks.</t>
  </si>
  <si>
    <t xml:space="preserve">Q125</t>
  </si>
  <si>
    <t xml:space="preserve">Create a 12-week study schedule to learn data structures and algorithms from scratch, with weekly topics, practice problems and review checkpoints.</t>
  </si>
  <si>
    <t xml:space="preserve">Q126</t>
  </si>
  <si>
    <t xml:space="preserve">Write a complete Python command-line to-do list app with add, delete, list and save-to-file features, and explain the code.</t>
  </si>
  <si>
    <t xml:space="preserve">Q127</t>
  </si>
  <si>
    <t xml:space="preserve">Explain how garbage collection works in major programming languages, comparing reference counting, mark-and-sweep and generational approaches.</t>
  </si>
  <si>
    <t xml:space="preserve">Q128</t>
  </si>
  <si>
    <t xml:space="preserve">Analyze the advantages and disadvantages of nuclear power compared with solar and wind, covering cost, safety, waste and grid reliability.</t>
  </si>
  <si>
    <t xml:space="preserve">Q129</t>
  </si>
  <si>
    <t xml:space="preserve">Design a rate limiting system for a public API, compare token bucket, leaky bucket and sliding window algorithms, and write code for one of them.</t>
  </si>
  <si>
    <t xml:space="preserve">Q130</t>
  </si>
  <si>
    <t xml:space="preserve">Write a detailed technical report on how chaos engineering improves system reliability, including methodology, example experiments and metrics.</t>
  </si>
  <si>
    <t xml:space="preserve">Q131</t>
  </si>
  <si>
    <t xml:space="preserve">Explain in depth how a relational database executes a query, from parsing and optimization to indexes, joins and transaction handling.</t>
  </si>
  <si>
    <t xml:space="preserve">Q132</t>
  </si>
  <si>
    <t xml:space="preserve">Write a persuasive speech of about 600 words encouraging college students to contribute to open-source projects.</t>
  </si>
  <si>
    <t xml:space="preserve">Q133</t>
  </si>
  <si>
    <t xml:space="preserve">Describe step by step how to deploy a three-tier web application on Ubuntu using Nginx, a Python backend and PostgreSQL, including security hardening.</t>
  </si>
  <si>
    <t xml:space="preserve">Q134</t>
  </si>
  <si>
    <t xml:space="preserve">Implement a binary search tree in Python with insert, delete, search and in-order traversal, and analyze the complexity of each operation.</t>
  </si>
  <si>
    <t xml:space="preserve">Q135</t>
  </si>
  <si>
    <t xml:space="preserve">Explain the history and evolution of the internet from ARPANET to today, highlighting major technologies and turning points.</t>
  </si>
  <si>
    <t xml:space="preserve">Q136</t>
  </si>
  <si>
    <t xml:space="preserve">Compare three popular machine learning algorithms for classification in depth, including assumptions, strengths, weaknesses and ideal datasets.</t>
  </si>
  <si>
    <t xml:space="preserve">Q137</t>
  </si>
  <si>
    <t xml:space="preserve">Write a detailed project proposal for a campus smart-attendance system, including objectives, architecture, timeline, budget and risks.</t>
  </si>
  <si>
    <t xml:space="preserve">Q138</t>
  </si>
  <si>
    <t xml:space="preserve">Explain how large language models are trained and fine-tuned, covering pretraining, instruction tuning, reinforcement learning from human feedback and evaluation.</t>
  </si>
  <si>
    <t xml:space="preserve">Q139</t>
  </si>
  <si>
    <t xml:space="preserve">Write a detailed explanation of how an operating system manages memory, including paging, segmentation, virtual memory and page replacement.</t>
  </si>
  <si>
    <t xml:space="preserve">Q140</t>
  </si>
  <si>
    <t xml:space="preserve">Solve step by step: a train leaves a station at 60 km/h and another leaves one hour later at 90 km/h on the same track. When and where does the second catch the first? Then generalize the solution into a formula.</t>
  </si>
  <si>
    <t xml:space="preserve">Q141</t>
  </si>
  <si>
    <t xml:space="preserve">Write a comprehensive security checklist for a web application covering authentication, input validation, session management, dependencies and deployment.</t>
  </si>
  <si>
    <t xml:space="preserve">Q142</t>
  </si>
  <si>
    <t xml:space="preserve">Design a fault-tolerant file storage system with replication and automatic repair, explaining data placement, failure detection and recovery.</t>
  </si>
  <si>
    <t xml:space="preserve">Q143</t>
  </si>
  <si>
    <t xml:space="preserve">Write an in-depth analysis of the economic effects of globalization on developing countries, covering both positive and negative impacts.</t>
  </si>
  <si>
    <t xml:space="preserve">Q144</t>
  </si>
  <si>
    <t xml:space="preserve">Implement a simple event-driven simulator in Python for a help desk queue with arrival, service and departure events, and explain the results.</t>
  </si>
  <si>
    <t xml:space="preserve">Q145</t>
  </si>
  <si>
    <t xml:space="preserve">Explain the principles of clean code and SOLID design with Python examples showing both bad and improved versions.</t>
  </si>
  <si>
    <t xml:space="preserve">Q146</t>
  </si>
  <si>
    <t xml:space="preserve">Write a detailed lesson outline to teach high school students about renewable energy, including activities, assessment and resources.</t>
  </si>
  <si>
    <t xml:space="preserve">Q147</t>
  </si>
  <si>
    <t xml:space="preserve">Describe how CI/CD pipelines work and write an example pipeline configuration for testing and deploying a Python application.</t>
  </si>
  <si>
    <t xml:space="preserve">Q148</t>
  </si>
  <si>
    <t xml:space="preserve">Explain the mathematics behind gradient descent in detail, including the derivation of the update rule, learning-rate effects and common variants.</t>
  </si>
  <si>
    <t xml:space="preserve">Q149</t>
  </si>
  <si>
    <t xml:space="preserve">Write a thorough literature-style review of the challenges in scheduling workloads for large language model inference serving.</t>
  </si>
  <si>
    <t xml:space="preserve">Q150</t>
  </si>
  <si>
    <t xml:space="preserve">Create a detailed disaster recovery document for a small company's IT infrastructure, including backup strategy, recovery objectives, roles and testing procedures.</t>
  </si>
  <si>
    <t xml:space="preserve">Output-token predictor: assumptions (blue = editable input)</t>
  </si>
  <si>
    <t xml:space="preserve">Assumption</t>
  </si>
  <si>
    <t xml:space="preserve">Value</t>
  </si>
  <si>
    <t xml:space="preserve">Note</t>
  </si>
  <si>
    <t xml:space="preserve">Characters per token</t>
  </si>
  <si>
    <t xml:space="preserve">Rule of thumb for English text (about 4 chars or 0.75 words per token). Replace with your model's real tokenizer ratio.</t>
  </si>
  <si>
    <t xml:space="preserve">Minimum output tokens</t>
  </si>
  <si>
    <t xml:space="preserve">Floor so a prediction is never 0.</t>
  </si>
  <si>
    <t xml:space="preserve">Maximum output tokens (cap)</t>
  </si>
  <si>
    <t xml:space="preserve">Should match your max_tokens limit in the gateway.</t>
  </si>
  <si>
    <t xml:space="preserve">Boost per long-answer keyword</t>
  </si>
  <si>
    <t xml:space="preserve">Each keyword found multiplies the base by (1 + boost). Starting guess, tune it.</t>
  </si>
  <si>
    <t xml:space="preserve">Reduction per short-answer keyword</t>
  </si>
  <si>
    <t xml:space="preserve">Each keyword found divides the result by (1 + reduction). Starting guess, tune it.</t>
  </si>
  <si>
    <t xml:space="preserve">Interactive threshold (tokens)</t>
  </si>
  <si>
    <t xml:space="preserve">Predicted output at or below this = 'interactive', above = 'batch'.</t>
  </si>
  <si>
    <t xml:space="preserve">Base output tokens</t>
  </si>
  <si>
    <t xml:space="preserve">Starting guess for typical answer length. Replace with the average of your real measurements.</t>
  </si>
  <si>
    <t xml:space="preserve">Long-answer keywords (raise prediction)</t>
  </si>
  <si>
    <t xml:space="preserve">Short-answer keywords (lower prediction)</t>
  </si>
  <si>
    <t xml:space="preserve">explain</t>
  </si>
  <si>
    <t xml:space="preserve">briefly</t>
  </si>
  <si>
    <t xml:space="preserve">step</t>
  </si>
  <si>
    <t xml:space="preserve">one word</t>
  </si>
  <si>
    <t xml:space="preserve">compare</t>
  </si>
  <si>
    <t xml:space="preserve">one sentence</t>
  </si>
  <si>
    <t xml:space="preserve">detail</t>
  </si>
  <si>
    <t xml:space="preserve">yes or no</t>
  </si>
  <si>
    <t xml:space="preserve">example</t>
  </si>
  <si>
    <t xml:space="preserve">in short</t>
  </si>
  <si>
    <t xml:space="preserve">list</t>
  </si>
  <si>
    <t xml:space="preserve">write</t>
  </si>
  <si>
    <t xml:space="preserve">design</t>
  </si>
  <si>
    <t xml:space="preserve">implement</t>
  </si>
  <si>
    <t xml:space="preserve">essay</t>
  </si>
  <si>
    <t xml:space="preserve">analyze</t>
  </si>
  <si>
    <t xml:space="preserve">describe</t>
  </si>
  <si>
    <t xml:space="preserve">why</t>
  </si>
  <si>
    <t xml:space="preserve">in depth</t>
  </si>
  <si>
    <t xml:space="preserve">comprehensive</t>
  </si>
  <si>
    <t xml:space="preserve">tutorial</t>
  </si>
  <si>
    <t xml:space="preserve">guide</t>
  </si>
  <si>
    <t xml:space="preserve">discuss</t>
  </si>
  <si>
    <t xml:space="preserve">prove</t>
  </si>
  <si>
    <t xml:space="preserve">Note: formulas use the exact ranges A17:A35 and C17:C21. If you add keywords, extend those ranges (blank cells would count as a match).</t>
  </si>
  <si>
    <t xml:space="preserve">Summary (all values are formulas)</t>
  </si>
  <si>
    <t xml:space="preserve">Questions</t>
  </si>
  <si>
    <t xml:space="preserve">Avg input tokens</t>
  </si>
  <si>
    <t xml:space="preserve">Avg predicted output tokens</t>
  </si>
  <si>
    <t xml:space="preserve">Total predicted output tokens</t>
  </si>
  <si>
    <t xml:space="preserve">Interactive count</t>
  </si>
  <si>
    <t xml:space="preserve">Total</t>
  </si>
  <si>
    <t xml:space="preserve">Calibration (after you run the questions on your model and fill column G on the Questions sheet)</t>
  </si>
  <si>
    <t xml:space="preserve">Questions with actual tokens</t>
  </si>
  <si>
    <t xml:space="preserve">Average error (MAPE)</t>
  </si>
  <si>
    <t xml:space="preserve">Calibration multiplier (actual / predicted)</t>
  </si>
  <si>
    <t xml:space="preserve">Multiply every base token value on Predictor by this number, then compare the error again.</t>
  </si>
  <si>
    <t xml:space="preserve">How to predict output tokens with a formula</t>
  </si>
  <si>
    <t xml:space="preserve">Step 1: Input tokens (known before the request runs)</t>
  </si>
  <si>
    <t xml:space="preserve">Input tokens = ROUNDUP(number of characters / chars per token, 0). With about 4 characters per token for English. Used in column D.</t>
  </si>
  <si>
    <t xml:space="preserve">Step 2: Predicted output tokens (needed by the scheduler before the request runs)</t>
  </si>
  <si>
    <t xml:space="preserve">Predicted = MIN(cap, MAX(floor, Base[difficulty] x (1 + boost x LongKeywordCount) / (1 + reduction x ShortKeywordCount)))</t>
  </si>
  <si>
    <t xml:space="preserve">Base[difficulty]: typical answer length for Easy / Medium / Hard (Predictor sheet).</t>
  </si>
  <si>
    <t xml:space="preserve">LongKeywordCount: how many words like explain, detail, write, design, implement appear in the prompt (each one raises the answer length).</t>
  </si>
  <si>
    <t xml:space="preserve">ShortKeywordCount: how many words like briefly, one word, yes or no appear (each one shortens the answer).</t>
  </si>
  <si>
    <t xml:space="preserve">Used in column E.</t>
  </si>
  <si>
    <t xml:space="preserve">Step 3: Scheduler class</t>
  </si>
  <si>
    <t xml:space="preserve">Class = interactive if Predicted &lt;= threshold, otherwise batch. Use this to set priority and weight in the scheduler (column F).</t>
  </si>
  <si>
    <t xml:space="preserve">Step 4: Calibrate with real data (this is what makes the prediction credible)</t>
  </si>
  <si>
    <t xml:space="preserve">1. Run all 150 questions on your model (mock backend or LM Studio) and record the real output token count in column G.</t>
  </si>
  <si>
    <t xml:space="preserve">2. Read the error and the calibration multiplier on the Summary sheet.</t>
  </si>
  <si>
    <t xml:space="preserve">3. Replace the Base values with the measured averages per difficulty, and tune boost and reduction until the average error drops.</t>
  </si>
  <si>
    <t xml:space="preserve">4. For a better model once you have data: fit Output = a + b x InputTokens per difficulty using Excel SLOPE and INTERCEPT, or LINEST.</t>
  </si>
  <si>
    <t xml:space="preserve">Step 5: Use it in the gateway</t>
  </si>
  <si>
    <t xml:space="preserve">Call the same formula in Python before enqueueing, set max_tokens to the predicted value (or the cap), and feed it to the scheduler as the job cost. Actual tokens can be tracked after completion to keep correcting the base values.</t>
  </si>
  <si>
    <t xml:space="preserve">Be honest on the slides: this is a heuristic estimate, not an exact value. Report the measured error (MAPE) from the Summary sheet.</t>
  </si>
</sst>
</file>

<file path=xl/styles.xml><?xml version="1.0" encoding="utf-8"?>
<styleSheet xmlns="http://schemas.openxmlformats.org/spreadsheetml/2006/main">
  <numFmts count="5">
    <numFmt numFmtId="164" formatCode="General"/>
    <numFmt numFmtId="165" formatCode="General"/>
    <numFmt numFmtId="166" formatCode="0.0%"/>
    <numFmt numFmtId="167" formatCode="0.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color rgb="FF0000FF"/>
      <name val="Arial"/>
      <family val="0"/>
      <charset val="1"/>
    </font>
    <font>
      <b val="true"/>
      <sz val="13"/>
      <name val="Arial"/>
      <family val="0"/>
      <charset val="1"/>
    </font>
    <font>
      <i val="true"/>
      <sz val="10"/>
      <name val="Arial"/>
      <family val="0"/>
      <charset val="1"/>
    </font>
    <font>
      <b val="true"/>
      <sz val="10"/>
      <name val="Arial"/>
      <family val="0"/>
      <charset val="1"/>
    </font>
    <font>
      <b val="true"/>
      <sz val="11"/>
      <color rgb="FF1F3864"/>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3"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D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95"/>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7" min="7" style="0" width="20"/>
    <col collapsed="false" customWidth="true" hidden="false" outlineLevel="0" max="8" min="8" style="0" width="10"/>
  </cols>
  <sheetData>
    <row r="1" customFormat="false" ht="45" hidden="false" customHeight="tru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3" t="s">
        <v>9</v>
      </c>
      <c r="C2" s="4" t="s">
        <v>10</v>
      </c>
      <c r="D2" s="5" t="n">
        <f aca="false">ROUNDUP(LEN(C2)/Predictor!$B$4,0)</f>
        <v>8</v>
      </c>
      <c r="E2" s="5" t="n">
        <f aca="false">ROUND(MAX(Predictor!$B$5,MIN(Predictor!$B$6,INDEX(Predictor!$B$12:$B$14,MATCH(B2,Predictor!$A$12:$A$14,0))*(1+Predictor!$B$7*SUMPRODUCT(--ISNUMBER(SEARCH(Predictor!$A$17:$A$35,C2))))/(1+Predictor!$B$8*SUMPRODUCT(--ISNUMBER(SEARCH(Predictor!$C$17:$C$21,C2)))))),0)</f>
        <v>30</v>
      </c>
      <c r="F2" s="2" t="str">
        <f aca="false">IF(E2&lt;=Predictor!$B$9,"interactive","batch")</f>
        <v>interactive</v>
      </c>
      <c r="G2" s="6"/>
      <c r="H2" s="7" t="str">
        <f aca="false">IF(G2="","",ABS(E2-G2)/G2)</f>
        <v/>
      </c>
    </row>
    <row r="3" customFormat="false" ht="15" hidden="false" customHeight="false" outlineLevel="0" collapsed="false">
      <c r="A3" s="2" t="s">
        <v>11</v>
      </c>
      <c r="B3" s="3" t="s">
        <v>9</v>
      </c>
      <c r="C3" s="4" t="s">
        <v>12</v>
      </c>
      <c r="D3" s="5" t="n">
        <f aca="false">ROUNDUP(LEN(C3)/Predictor!$B$4,0)</f>
        <v>7</v>
      </c>
      <c r="E3" s="5" t="n">
        <f aca="false">ROUND(MAX(Predictor!$B$5,MIN(Predictor!$B$6,INDEX(Predictor!$B$12:$B$14,MATCH(B3,Predictor!$A$12:$A$14,0))*(1+Predictor!$B$7*SUMPRODUCT(--ISNUMBER(SEARCH(Predictor!$A$17:$A$35,C3))))/(1+Predictor!$B$8*SUMPRODUCT(--ISNUMBER(SEARCH(Predictor!$C$17:$C$21,C3)))))),0)</f>
        <v>30</v>
      </c>
      <c r="F3" s="2" t="str">
        <f aca="false">IF(E3&lt;=Predictor!$B$9,"interactive","batch")</f>
        <v>interactive</v>
      </c>
      <c r="G3" s="6"/>
      <c r="H3" s="7" t="str">
        <f aca="false">IF(G3="","",ABS(E3-G3)/G3)</f>
        <v/>
      </c>
    </row>
    <row r="4" customFormat="false" ht="15" hidden="false" customHeight="false" outlineLevel="0" collapsed="false">
      <c r="A4" s="2" t="s">
        <v>13</v>
      </c>
      <c r="B4" s="3" t="s">
        <v>9</v>
      </c>
      <c r="C4" s="4" t="s">
        <v>14</v>
      </c>
      <c r="D4" s="5" t="n">
        <f aca="false">ROUNDUP(LEN(C4)/Predictor!$B$4,0)</f>
        <v>11</v>
      </c>
      <c r="E4" s="5" t="n">
        <f aca="false">ROUND(MAX(Predictor!$B$5,MIN(Predictor!$B$6,INDEX(Predictor!$B$12:$B$14,MATCH(B4,Predictor!$A$12:$A$14,0))*(1+Predictor!$B$7*SUMPRODUCT(--ISNUMBER(SEARCH(Predictor!$A$17:$A$35,C4))))/(1+Predictor!$B$8*SUMPRODUCT(--ISNUMBER(SEARCH(Predictor!$C$17:$C$21,C4)))))),0)</f>
        <v>30</v>
      </c>
      <c r="F4" s="2" t="str">
        <f aca="false">IF(E4&lt;=Predictor!$B$9,"interactive","batch")</f>
        <v>interactive</v>
      </c>
      <c r="G4" s="6"/>
      <c r="H4" s="7" t="str">
        <f aca="false">IF(G4="","",ABS(E4-G4)/G4)</f>
        <v/>
      </c>
    </row>
    <row r="5" customFormat="false" ht="15" hidden="false" customHeight="false" outlineLevel="0" collapsed="false">
      <c r="A5" s="2" t="s">
        <v>15</v>
      </c>
      <c r="B5" s="3" t="s">
        <v>9</v>
      </c>
      <c r="C5" s="4" t="s">
        <v>16</v>
      </c>
      <c r="D5" s="5" t="n">
        <f aca="false">ROUNDUP(LEN(C5)/Predictor!$B$4,0)</f>
        <v>9</v>
      </c>
      <c r="E5" s="5" t="n">
        <f aca="false">ROUND(MAX(Predictor!$B$5,MIN(Predictor!$B$6,INDEX(Predictor!$B$12:$B$14,MATCH(B5,Predictor!$A$12:$A$14,0))*(1+Predictor!$B$7*SUMPRODUCT(--ISNUMBER(SEARCH(Predictor!$A$17:$A$35,C5))))/(1+Predictor!$B$8*SUMPRODUCT(--ISNUMBER(SEARCH(Predictor!$C$17:$C$21,C5)))))),0)</f>
        <v>30</v>
      </c>
      <c r="F5" s="2" t="str">
        <f aca="false">IF(E5&lt;=Predictor!$B$9,"interactive","batch")</f>
        <v>interactive</v>
      </c>
      <c r="G5" s="6"/>
      <c r="H5" s="7" t="str">
        <f aca="false">IF(G5="","",ABS(E5-G5)/G5)</f>
        <v/>
      </c>
    </row>
    <row r="6" customFormat="false" ht="15" hidden="false" customHeight="false" outlineLevel="0" collapsed="false">
      <c r="A6" s="2" t="s">
        <v>17</v>
      </c>
      <c r="B6" s="3" t="s">
        <v>9</v>
      </c>
      <c r="C6" s="4" t="s">
        <v>18</v>
      </c>
      <c r="D6" s="5" t="n">
        <f aca="false">ROUNDUP(LEN(C6)/Predictor!$B$4,0)</f>
        <v>10</v>
      </c>
      <c r="E6" s="5" t="n">
        <f aca="false">ROUND(MAX(Predictor!$B$5,MIN(Predictor!$B$6,INDEX(Predictor!$B$12:$B$14,MATCH(B6,Predictor!$A$12:$A$14,0))*(1+Predictor!$B$7*SUMPRODUCT(--ISNUMBER(SEARCH(Predictor!$A$17:$A$35,C6))))/(1+Predictor!$B$8*SUMPRODUCT(--ISNUMBER(SEARCH(Predictor!$C$17:$C$21,C6)))))),0)</f>
        <v>30</v>
      </c>
      <c r="F6" s="2" t="str">
        <f aca="false">IF(E6&lt;=Predictor!$B$9,"interactive","batch")</f>
        <v>interactive</v>
      </c>
      <c r="G6" s="6"/>
      <c r="H6" s="7" t="str">
        <f aca="false">IF(G6="","",ABS(E6-G6)/G6)</f>
        <v/>
      </c>
    </row>
    <row r="7" customFormat="false" ht="15" hidden="false" customHeight="false" outlineLevel="0" collapsed="false">
      <c r="A7" s="2" t="s">
        <v>19</v>
      </c>
      <c r="B7" s="3" t="s">
        <v>9</v>
      </c>
      <c r="C7" s="4" t="s">
        <v>20</v>
      </c>
      <c r="D7" s="5" t="n">
        <f aca="false">ROUNDUP(LEN(C7)/Predictor!$B$4,0)</f>
        <v>10</v>
      </c>
      <c r="E7" s="5" t="n">
        <f aca="false">ROUND(MAX(Predictor!$B$5,MIN(Predictor!$B$6,INDEX(Predictor!$B$12:$B$14,MATCH(B7,Predictor!$A$12:$A$14,0))*(1+Predictor!$B$7*SUMPRODUCT(--ISNUMBER(SEARCH(Predictor!$A$17:$A$35,C7))))/(1+Predictor!$B$8*SUMPRODUCT(--ISNUMBER(SEARCH(Predictor!$C$17:$C$21,C7)))))),0)</f>
        <v>30</v>
      </c>
      <c r="F7" s="2" t="str">
        <f aca="false">IF(E7&lt;=Predictor!$B$9,"interactive","batch")</f>
        <v>interactive</v>
      </c>
      <c r="G7" s="6"/>
      <c r="H7" s="7" t="str">
        <f aca="false">IF(G7="","",ABS(E7-G7)/G7)</f>
        <v/>
      </c>
    </row>
    <row r="8" customFormat="false" ht="15" hidden="false" customHeight="false" outlineLevel="0" collapsed="false">
      <c r="A8" s="2" t="s">
        <v>21</v>
      </c>
      <c r="B8" s="3" t="s">
        <v>9</v>
      </c>
      <c r="C8" s="4" t="s">
        <v>22</v>
      </c>
      <c r="D8" s="5" t="n">
        <f aca="false">ROUNDUP(LEN(C8)/Predictor!$B$4,0)</f>
        <v>12</v>
      </c>
      <c r="E8" s="5" t="n">
        <f aca="false">ROUND(MAX(Predictor!$B$5,MIN(Predictor!$B$6,INDEX(Predictor!$B$12:$B$14,MATCH(B8,Predictor!$A$12:$A$14,0))*(1+Predictor!$B$7*SUMPRODUCT(--ISNUMBER(SEARCH(Predictor!$A$17:$A$35,C8))))/(1+Predictor!$B$8*SUMPRODUCT(--ISNUMBER(SEARCH(Predictor!$C$17:$C$21,C8)))))),0)</f>
        <v>30</v>
      </c>
      <c r="F8" s="2" t="str">
        <f aca="false">IF(E8&lt;=Predictor!$B$9,"interactive","batch")</f>
        <v>interactive</v>
      </c>
      <c r="G8" s="6"/>
      <c r="H8" s="7" t="str">
        <f aca="false">IF(G8="","",ABS(E8-G8)/G8)</f>
        <v/>
      </c>
    </row>
    <row r="9" customFormat="false" ht="15" hidden="false" customHeight="false" outlineLevel="0" collapsed="false">
      <c r="A9" s="2" t="s">
        <v>23</v>
      </c>
      <c r="B9" s="3" t="s">
        <v>9</v>
      </c>
      <c r="C9" s="4" t="s">
        <v>24</v>
      </c>
      <c r="D9" s="5" t="n">
        <f aca="false">ROUNDUP(LEN(C9)/Predictor!$B$4,0)</f>
        <v>9</v>
      </c>
      <c r="E9" s="5" t="n">
        <f aca="false">ROUND(MAX(Predictor!$B$5,MIN(Predictor!$B$6,INDEX(Predictor!$B$12:$B$14,MATCH(B9,Predictor!$A$12:$A$14,0))*(1+Predictor!$B$7*SUMPRODUCT(--ISNUMBER(SEARCH(Predictor!$A$17:$A$35,C9))))/(1+Predictor!$B$8*SUMPRODUCT(--ISNUMBER(SEARCH(Predictor!$C$17:$C$21,C9)))))),0)</f>
        <v>30</v>
      </c>
      <c r="F9" s="2" t="str">
        <f aca="false">IF(E9&lt;=Predictor!$B$9,"interactive","batch")</f>
        <v>interactive</v>
      </c>
      <c r="G9" s="6"/>
      <c r="H9" s="7" t="str">
        <f aca="false">IF(G9="","",ABS(E9-G9)/G9)</f>
        <v/>
      </c>
    </row>
    <row r="10" customFormat="false" ht="15" hidden="false" customHeight="false" outlineLevel="0" collapsed="false">
      <c r="A10" s="2" t="s">
        <v>25</v>
      </c>
      <c r="B10" s="3" t="s">
        <v>9</v>
      </c>
      <c r="C10" s="4" t="s">
        <v>26</v>
      </c>
      <c r="D10" s="5" t="n">
        <f aca="false">ROUNDUP(LEN(C10)/Predictor!$B$4,0)</f>
        <v>10</v>
      </c>
      <c r="E10" s="5" t="n">
        <f aca="false">ROUND(MAX(Predictor!$B$5,MIN(Predictor!$B$6,INDEX(Predictor!$B$12:$B$14,MATCH(B10,Predictor!$A$12:$A$14,0))*(1+Predictor!$B$7*SUMPRODUCT(--ISNUMBER(SEARCH(Predictor!$A$17:$A$35,C10))))/(1+Predictor!$B$8*SUMPRODUCT(--ISNUMBER(SEARCH(Predictor!$C$17:$C$21,C10)))))),0)</f>
        <v>30</v>
      </c>
      <c r="F10" s="2" t="str">
        <f aca="false">IF(E10&lt;=Predictor!$B$9,"interactive","batch")</f>
        <v>interactive</v>
      </c>
      <c r="G10" s="6"/>
      <c r="H10" s="7" t="str">
        <f aca="false">IF(G10="","",ABS(E10-G10)/G10)</f>
        <v/>
      </c>
    </row>
    <row r="11" customFormat="false" ht="15" hidden="false" customHeight="false" outlineLevel="0" collapsed="false">
      <c r="A11" s="2" t="s">
        <v>27</v>
      </c>
      <c r="B11" s="3" t="s">
        <v>9</v>
      </c>
      <c r="C11" s="4" t="s">
        <v>28</v>
      </c>
      <c r="D11" s="5" t="n">
        <f aca="false">ROUNDUP(LEN(C11)/Predictor!$B$4,0)</f>
        <v>12</v>
      </c>
      <c r="E11" s="5" t="n">
        <f aca="false">ROUND(MAX(Predictor!$B$5,MIN(Predictor!$B$6,INDEX(Predictor!$B$12:$B$14,MATCH(B11,Predictor!$A$12:$A$14,0))*(1+Predictor!$B$7*SUMPRODUCT(--ISNUMBER(SEARCH(Predictor!$A$17:$A$35,C11))))/(1+Predictor!$B$8*SUMPRODUCT(--ISNUMBER(SEARCH(Predictor!$C$17:$C$21,C11)))))),0)</f>
        <v>30</v>
      </c>
      <c r="F11" s="2" t="str">
        <f aca="false">IF(E11&lt;=Predictor!$B$9,"interactive","batch")</f>
        <v>interactive</v>
      </c>
      <c r="G11" s="6"/>
      <c r="H11" s="7" t="str">
        <f aca="false">IF(G11="","",ABS(E11-G11)/G11)</f>
        <v/>
      </c>
    </row>
    <row r="12" customFormat="false" ht="15" hidden="false" customHeight="false" outlineLevel="0" collapsed="false">
      <c r="A12" s="2" t="s">
        <v>29</v>
      </c>
      <c r="B12" s="3" t="s">
        <v>9</v>
      </c>
      <c r="C12" s="4" t="s">
        <v>30</v>
      </c>
      <c r="D12" s="5" t="n">
        <f aca="false">ROUNDUP(LEN(C12)/Predictor!$B$4,0)</f>
        <v>7</v>
      </c>
      <c r="E12" s="5" t="n">
        <f aca="false">ROUND(MAX(Predictor!$B$5,MIN(Predictor!$B$6,INDEX(Predictor!$B$12:$B$14,MATCH(B12,Predictor!$A$12:$A$14,0))*(1+Predictor!$B$7*SUMPRODUCT(--ISNUMBER(SEARCH(Predictor!$A$17:$A$35,C12))))/(1+Predictor!$B$8*SUMPRODUCT(--ISNUMBER(SEARCH(Predictor!$C$17:$C$21,C12)))))),0)</f>
        <v>30</v>
      </c>
      <c r="F12" s="2" t="str">
        <f aca="false">IF(E12&lt;=Predictor!$B$9,"interactive","batch")</f>
        <v>interactive</v>
      </c>
      <c r="G12" s="6"/>
      <c r="H12" s="7" t="str">
        <f aca="false">IF(G12="","",ABS(E12-G12)/G12)</f>
        <v/>
      </c>
    </row>
    <row r="13" customFormat="false" ht="15" hidden="false" customHeight="false" outlineLevel="0" collapsed="false">
      <c r="A13" s="2" t="s">
        <v>31</v>
      </c>
      <c r="B13" s="3" t="s">
        <v>9</v>
      </c>
      <c r="C13" s="4" t="s">
        <v>32</v>
      </c>
      <c r="D13" s="5" t="n">
        <f aca="false">ROUNDUP(LEN(C13)/Predictor!$B$4,0)</f>
        <v>8</v>
      </c>
      <c r="E13" s="5" t="n">
        <f aca="false">ROUND(MAX(Predictor!$B$5,MIN(Predictor!$B$6,INDEX(Predictor!$B$12:$B$14,MATCH(B13,Predictor!$A$12:$A$14,0))*(1+Predictor!$B$7*SUMPRODUCT(--ISNUMBER(SEARCH(Predictor!$A$17:$A$35,C13))))/(1+Predictor!$B$8*SUMPRODUCT(--ISNUMBER(SEARCH(Predictor!$C$17:$C$21,C13)))))),0)</f>
        <v>30</v>
      </c>
      <c r="F13" s="2" t="str">
        <f aca="false">IF(E13&lt;=Predictor!$B$9,"interactive","batch")</f>
        <v>interactive</v>
      </c>
      <c r="G13" s="6"/>
      <c r="H13" s="7" t="str">
        <f aca="false">IF(G13="","",ABS(E13-G13)/G13)</f>
        <v/>
      </c>
    </row>
    <row r="14" customFormat="false" ht="15" hidden="false" customHeight="false" outlineLevel="0" collapsed="false">
      <c r="A14" s="2" t="s">
        <v>33</v>
      </c>
      <c r="B14" s="3" t="s">
        <v>9</v>
      </c>
      <c r="C14" s="4" t="s">
        <v>34</v>
      </c>
      <c r="D14" s="5" t="n">
        <f aca="false">ROUNDUP(LEN(C14)/Predictor!$B$4,0)</f>
        <v>7</v>
      </c>
      <c r="E14" s="5" t="n">
        <f aca="false">ROUND(MAX(Predictor!$B$5,MIN(Predictor!$B$6,INDEX(Predictor!$B$12:$B$14,MATCH(B14,Predictor!$A$12:$A$14,0))*(1+Predictor!$B$7*SUMPRODUCT(--ISNUMBER(SEARCH(Predictor!$A$17:$A$35,C14))))/(1+Predictor!$B$8*SUMPRODUCT(--ISNUMBER(SEARCH(Predictor!$C$17:$C$21,C14)))))),0)</f>
        <v>30</v>
      </c>
      <c r="F14" s="2" t="str">
        <f aca="false">IF(E14&lt;=Predictor!$B$9,"interactive","batch")</f>
        <v>interactive</v>
      </c>
      <c r="G14" s="6"/>
      <c r="H14" s="7" t="str">
        <f aca="false">IF(G14="","",ABS(E14-G14)/G14)</f>
        <v/>
      </c>
    </row>
    <row r="15" customFormat="false" ht="15" hidden="false" customHeight="false" outlineLevel="0" collapsed="false">
      <c r="A15" s="2" t="s">
        <v>35</v>
      </c>
      <c r="B15" s="3" t="s">
        <v>9</v>
      </c>
      <c r="C15" s="4" t="s">
        <v>36</v>
      </c>
      <c r="D15" s="5" t="n">
        <f aca="false">ROUNDUP(LEN(C15)/Predictor!$B$4,0)</f>
        <v>8</v>
      </c>
      <c r="E15" s="5" t="n">
        <f aca="false">ROUND(MAX(Predictor!$B$5,MIN(Predictor!$B$6,INDEX(Predictor!$B$12:$B$14,MATCH(B15,Predictor!$A$12:$A$14,0))*(1+Predictor!$B$7*SUMPRODUCT(--ISNUMBER(SEARCH(Predictor!$A$17:$A$35,C15))))/(1+Predictor!$B$8*SUMPRODUCT(--ISNUMBER(SEARCH(Predictor!$C$17:$C$21,C15)))))),0)</f>
        <v>30</v>
      </c>
      <c r="F15" s="2" t="str">
        <f aca="false">IF(E15&lt;=Predictor!$B$9,"interactive","batch")</f>
        <v>interactive</v>
      </c>
      <c r="G15" s="6"/>
      <c r="H15" s="7" t="str">
        <f aca="false">IF(G15="","",ABS(E15-G15)/G15)</f>
        <v/>
      </c>
    </row>
    <row r="16" customFormat="false" ht="15" hidden="false" customHeight="false" outlineLevel="0" collapsed="false">
      <c r="A16" s="2" t="s">
        <v>37</v>
      </c>
      <c r="B16" s="3" t="s">
        <v>9</v>
      </c>
      <c r="C16" s="4" t="s">
        <v>38</v>
      </c>
      <c r="D16" s="5" t="n">
        <f aca="false">ROUNDUP(LEN(C16)/Predictor!$B$4,0)</f>
        <v>7</v>
      </c>
      <c r="E16" s="5" t="n">
        <f aca="false">ROUND(MAX(Predictor!$B$5,MIN(Predictor!$B$6,INDEX(Predictor!$B$12:$B$14,MATCH(B16,Predictor!$A$12:$A$14,0))*(1+Predictor!$B$7*SUMPRODUCT(--ISNUMBER(SEARCH(Predictor!$A$17:$A$35,C16))))/(1+Predictor!$B$8*SUMPRODUCT(--ISNUMBER(SEARCH(Predictor!$C$17:$C$21,C16)))))),0)</f>
        <v>30</v>
      </c>
      <c r="F16" s="2" t="str">
        <f aca="false">IF(E16&lt;=Predictor!$B$9,"interactive","batch")</f>
        <v>interactive</v>
      </c>
      <c r="G16" s="6"/>
      <c r="H16" s="7" t="str">
        <f aca="false">IF(G16="","",ABS(E16-G16)/G16)</f>
        <v/>
      </c>
    </row>
    <row r="17" customFormat="false" ht="15" hidden="false" customHeight="false" outlineLevel="0" collapsed="false">
      <c r="A17" s="2" t="s">
        <v>39</v>
      </c>
      <c r="B17" s="3" t="s">
        <v>9</v>
      </c>
      <c r="C17" s="4" t="s">
        <v>40</v>
      </c>
      <c r="D17" s="5" t="n">
        <f aca="false">ROUNDUP(LEN(C17)/Predictor!$B$4,0)</f>
        <v>8</v>
      </c>
      <c r="E17" s="5" t="n">
        <f aca="false">ROUND(MAX(Predictor!$B$5,MIN(Predictor!$B$6,INDEX(Predictor!$B$12:$B$14,MATCH(B17,Predictor!$A$12:$A$14,0))*(1+Predictor!$B$7*SUMPRODUCT(--ISNUMBER(SEARCH(Predictor!$A$17:$A$35,C17))))/(1+Predictor!$B$8*SUMPRODUCT(--ISNUMBER(SEARCH(Predictor!$C$17:$C$21,C17)))))),0)</f>
        <v>30</v>
      </c>
      <c r="F17" s="2" t="str">
        <f aca="false">IF(E17&lt;=Predictor!$B$9,"interactive","batch")</f>
        <v>interactive</v>
      </c>
      <c r="G17" s="6"/>
      <c r="H17" s="7" t="str">
        <f aca="false">IF(G17="","",ABS(E17-G17)/G17)</f>
        <v/>
      </c>
    </row>
    <row r="18" customFormat="false" ht="15" hidden="false" customHeight="false" outlineLevel="0" collapsed="false">
      <c r="A18" s="2" t="s">
        <v>41</v>
      </c>
      <c r="B18" s="3" t="s">
        <v>9</v>
      </c>
      <c r="C18" s="4" t="s">
        <v>42</v>
      </c>
      <c r="D18" s="5" t="n">
        <f aca="false">ROUNDUP(LEN(C18)/Predictor!$B$4,0)</f>
        <v>13</v>
      </c>
      <c r="E18" s="5" t="n">
        <f aca="false">ROUND(MAX(Predictor!$B$5,MIN(Predictor!$B$6,INDEX(Predictor!$B$12:$B$14,MATCH(B18,Predictor!$A$12:$A$14,0))*(1+Predictor!$B$7*SUMPRODUCT(--ISNUMBER(SEARCH(Predictor!$A$17:$A$35,C18))))/(1+Predictor!$B$8*SUMPRODUCT(--ISNUMBER(SEARCH(Predictor!$C$17:$C$21,C18)))))),0)</f>
        <v>30</v>
      </c>
      <c r="F18" s="2" t="str">
        <f aca="false">IF(E18&lt;=Predictor!$B$9,"interactive","batch")</f>
        <v>interactive</v>
      </c>
      <c r="G18" s="6"/>
      <c r="H18" s="7" t="str">
        <f aca="false">IF(G18="","",ABS(E18-G18)/G18)</f>
        <v/>
      </c>
    </row>
    <row r="19" customFormat="false" ht="15" hidden="false" customHeight="false" outlineLevel="0" collapsed="false">
      <c r="A19" s="2" t="s">
        <v>43</v>
      </c>
      <c r="B19" s="3" t="s">
        <v>9</v>
      </c>
      <c r="C19" s="4" t="s">
        <v>44</v>
      </c>
      <c r="D19" s="5" t="n">
        <f aca="false">ROUNDUP(LEN(C19)/Predictor!$B$4,0)</f>
        <v>10</v>
      </c>
      <c r="E19" s="5" t="n">
        <f aca="false">ROUND(MAX(Predictor!$B$5,MIN(Predictor!$B$6,INDEX(Predictor!$B$12:$B$14,MATCH(B19,Predictor!$A$12:$A$14,0))*(1+Predictor!$B$7*SUMPRODUCT(--ISNUMBER(SEARCH(Predictor!$A$17:$A$35,C19))))/(1+Predictor!$B$8*SUMPRODUCT(--ISNUMBER(SEARCH(Predictor!$C$17:$C$21,C19)))))),0)</f>
        <v>30</v>
      </c>
      <c r="F19" s="2" t="str">
        <f aca="false">IF(E19&lt;=Predictor!$B$9,"interactive","batch")</f>
        <v>interactive</v>
      </c>
      <c r="G19" s="6"/>
      <c r="H19" s="7" t="str">
        <f aca="false">IF(G19="","",ABS(E19-G19)/G19)</f>
        <v/>
      </c>
    </row>
    <row r="20" customFormat="false" ht="15" hidden="false" customHeight="false" outlineLevel="0" collapsed="false">
      <c r="A20" s="2" t="s">
        <v>45</v>
      </c>
      <c r="B20" s="3" t="s">
        <v>9</v>
      </c>
      <c r="C20" s="4" t="s">
        <v>46</v>
      </c>
      <c r="D20" s="5" t="n">
        <f aca="false">ROUNDUP(LEN(C20)/Predictor!$B$4,0)</f>
        <v>10</v>
      </c>
      <c r="E20" s="5" t="n">
        <f aca="false">ROUND(MAX(Predictor!$B$5,MIN(Predictor!$B$6,INDEX(Predictor!$B$12:$B$14,MATCH(B20,Predictor!$A$12:$A$14,0))*(1+Predictor!$B$7*SUMPRODUCT(--ISNUMBER(SEARCH(Predictor!$A$17:$A$35,C20))))/(1+Predictor!$B$8*SUMPRODUCT(--ISNUMBER(SEARCH(Predictor!$C$17:$C$21,C20)))))),0)</f>
        <v>30</v>
      </c>
      <c r="F20" s="2" t="str">
        <f aca="false">IF(E20&lt;=Predictor!$B$9,"interactive","batch")</f>
        <v>interactive</v>
      </c>
      <c r="G20" s="6"/>
      <c r="H20" s="7" t="str">
        <f aca="false">IF(G20="","",ABS(E20-G20)/G20)</f>
        <v/>
      </c>
    </row>
    <row r="21" customFormat="false" ht="15" hidden="false" customHeight="false" outlineLevel="0" collapsed="false">
      <c r="A21" s="2" t="s">
        <v>47</v>
      </c>
      <c r="B21" s="3" t="s">
        <v>9</v>
      </c>
      <c r="C21" s="4" t="s">
        <v>48</v>
      </c>
      <c r="D21" s="5" t="n">
        <f aca="false">ROUNDUP(LEN(C21)/Predictor!$B$4,0)</f>
        <v>8</v>
      </c>
      <c r="E21" s="5" t="n">
        <f aca="false">ROUND(MAX(Predictor!$B$5,MIN(Predictor!$B$6,INDEX(Predictor!$B$12:$B$14,MATCH(B21,Predictor!$A$12:$A$14,0))*(1+Predictor!$B$7*SUMPRODUCT(--ISNUMBER(SEARCH(Predictor!$A$17:$A$35,C21))))/(1+Predictor!$B$8*SUMPRODUCT(--ISNUMBER(SEARCH(Predictor!$C$17:$C$21,C21)))))),0)</f>
        <v>30</v>
      </c>
      <c r="F21" s="2" t="str">
        <f aca="false">IF(E21&lt;=Predictor!$B$9,"interactive","batch")</f>
        <v>interactive</v>
      </c>
      <c r="G21" s="6"/>
      <c r="H21" s="7" t="str">
        <f aca="false">IF(G21="","",ABS(E21-G21)/G21)</f>
        <v/>
      </c>
    </row>
    <row r="22" customFormat="false" ht="15" hidden="false" customHeight="false" outlineLevel="0" collapsed="false">
      <c r="A22" s="2" t="s">
        <v>49</v>
      </c>
      <c r="B22" s="3" t="s">
        <v>9</v>
      </c>
      <c r="C22" s="4" t="s">
        <v>50</v>
      </c>
      <c r="D22" s="5" t="n">
        <f aca="false">ROUNDUP(LEN(C22)/Predictor!$B$4,0)</f>
        <v>9</v>
      </c>
      <c r="E22" s="5" t="n">
        <f aca="false">ROUND(MAX(Predictor!$B$5,MIN(Predictor!$B$6,INDEX(Predictor!$B$12:$B$14,MATCH(B22,Predictor!$A$12:$A$14,0))*(1+Predictor!$B$7*SUMPRODUCT(--ISNUMBER(SEARCH(Predictor!$A$17:$A$35,C22))))/(1+Predictor!$B$8*SUMPRODUCT(--ISNUMBER(SEARCH(Predictor!$C$17:$C$21,C22)))))),0)</f>
        <v>30</v>
      </c>
      <c r="F22" s="2" t="str">
        <f aca="false">IF(E22&lt;=Predictor!$B$9,"interactive","batch")</f>
        <v>interactive</v>
      </c>
      <c r="G22" s="6"/>
      <c r="H22" s="7" t="str">
        <f aca="false">IF(G22="","",ABS(E22-G22)/G22)</f>
        <v/>
      </c>
    </row>
    <row r="23" customFormat="false" ht="15" hidden="false" customHeight="false" outlineLevel="0" collapsed="false">
      <c r="A23" s="2" t="s">
        <v>51</v>
      </c>
      <c r="B23" s="3" t="s">
        <v>9</v>
      </c>
      <c r="C23" s="4" t="s">
        <v>52</v>
      </c>
      <c r="D23" s="5" t="n">
        <f aca="false">ROUNDUP(LEN(C23)/Predictor!$B$4,0)</f>
        <v>8</v>
      </c>
      <c r="E23" s="5" t="n">
        <f aca="false">ROUND(MAX(Predictor!$B$5,MIN(Predictor!$B$6,INDEX(Predictor!$B$12:$B$14,MATCH(B23,Predictor!$A$12:$A$14,0))*(1+Predictor!$B$7*SUMPRODUCT(--ISNUMBER(SEARCH(Predictor!$A$17:$A$35,C23))))/(1+Predictor!$B$8*SUMPRODUCT(--ISNUMBER(SEARCH(Predictor!$C$17:$C$21,C23)))))),0)</f>
        <v>30</v>
      </c>
      <c r="F23" s="2" t="str">
        <f aca="false">IF(E23&lt;=Predictor!$B$9,"interactive","batch")</f>
        <v>interactive</v>
      </c>
      <c r="G23" s="6"/>
      <c r="H23" s="7" t="str">
        <f aca="false">IF(G23="","",ABS(E23-G23)/G23)</f>
        <v/>
      </c>
    </row>
    <row r="24" customFormat="false" ht="15" hidden="false" customHeight="false" outlineLevel="0" collapsed="false">
      <c r="A24" s="2" t="s">
        <v>53</v>
      </c>
      <c r="B24" s="3" t="s">
        <v>9</v>
      </c>
      <c r="C24" s="4" t="s">
        <v>54</v>
      </c>
      <c r="D24" s="5" t="n">
        <f aca="false">ROUNDUP(LEN(C24)/Predictor!$B$4,0)</f>
        <v>6</v>
      </c>
      <c r="E24" s="5" t="n">
        <f aca="false">ROUND(MAX(Predictor!$B$5,MIN(Predictor!$B$6,INDEX(Predictor!$B$12:$B$14,MATCH(B24,Predictor!$A$12:$A$14,0))*(1+Predictor!$B$7*SUMPRODUCT(--ISNUMBER(SEARCH(Predictor!$A$17:$A$35,C24))))/(1+Predictor!$B$8*SUMPRODUCT(--ISNUMBER(SEARCH(Predictor!$C$17:$C$21,C24)))))),0)</f>
        <v>30</v>
      </c>
      <c r="F24" s="2" t="str">
        <f aca="false">IF(E24&lt;=Predictor!$B$9,"interactive","batch")</f>
        <v>interactive</v>
      </c>
      <c r="G24" s="6"/>
      <c r="H24" s="7" t="str">
        <f aca="false">IF(G24="","",ABS(E24-G24)/G24)</f>
        <v/>
      </c>
    </row>
    <row r="25" customFormat="false" ht="15" hidden="false" customHeight="false" outlineLevel="0" collapsed="false">
      <c r="A25" s="2" t="s">
        <v>55</v>
      </c>
      <c r="B25" s="3" t="s">
        <v>9</v>
      </c>
      <c r="C25" s="4" t="s">
        <v>56</v>
      </c>
      <c r="D25" s="5" t="n">
        <f aca="false">ROUNDUP(LEN(C25)/Predictor!$B$4,0)</f>
        <v>7</v>
      </c>
      <c r="E25" s="5" t="n">
        <f aca="false">ROUND(MAX(Predictor!$B$5,MIN(Predictor!$B$6,INDEX(Predictor!$B$12:$B$14,MATCH(B25,Predictor!$A$12:$A$14,0))*(1+Predictor!$B$7*SUMPRODUCT(--ISNUMBER(SEARCH(Predictor!$A$17:$A$35,C25))))/(1+Predictor!$B$8*SUMPRODUCT(--ISNUMBER(SEARCH(Predictor!$C$17:$C$21,C25)))))),0)</f>
        <v>30</v>
      </c>
      <c r="F25" s="2" t="str">
        <f aca="false">IF(E25&lt;=Predictor!$B$9,"interactive","batch")</f>
        <v>interactive</v>
      </c>
      <c r="G25" s="6"/>
      <c r="H25" s="7" t="str">
        <f aca="false">IF(G25="","",ABS(E25-G25)/G25)</f>
        <v/>
      </c>
    </row>
    <row r="26" customFormat="false" ht="15" hidden="false" customHeight="false" outlineLevel="0" collapsed="false">
      <c r="A26" s="2" t="s">
        <v>57</v>
      </c>
      <c r="B26" s="3" t="s">
        <v>9</v>
      </c>
      <c r="C26" s="4" t="s">
        <v>58</v>
      </c>
      <c r="D26" s="5" t="n">
        <f aca="false">ROUNDUP(LEN(C26)/Predictor!$B$4,0)</f>
        <v>8</v>
      </c>
      <c r="E26" s="5" t="n">
        <f aca="false">ROUND(MAX(Predictor!$B$5,MIN(Predictor!$B$6,INDEX(Predictor!$B$12:$B$14,MATCH(B26,Predictor!$A$12:$A$14,0))*(1+Predictor!$B$7*SUMPRODUCT(--ISNUMBER(SEARCH(Predictor!$A$17:$A$35,C26))))/(1+Predictor!$B$8*SUMPRODUCT(--ISNUMBER(SEARCH(Predictor!$C$17:$C$21,C26)))))),0)</f>
        <v>30</v>
      </c>
      <c r="F26" s="2" t="str">
        <f aca="false">IF(E26&lt;=Predictor!$B$9,"interactive","batch")</f>
        <v>interactive</v>
      </c>
      <c r="G26" s="6"/>
      <c r="H26" s="7" t="str">
        <f aca="false">IF(G26="","",ABS(E26-G26)/G26)</f>
        <v/>
      </c>
    </row>
    <row r="27" customFormat="false" ht="15" hidden="false" customHeight="false" outlineLevel="0" collapsed="false">
      <c r="A27" s="2" t="s">
        <v>59</v>
      </c>
      <c r="B27" s="3" t="s">
        <v>9</v>
      </c>
      <c r="C27" s="4" t="s">
        <v>60</v>
      </c>
      <c r="D27" s="5" t="n">
        <f aca="false">ROUNDUP(LEN(C27)/Predictor!$B$4,0)</f>
        <v>8</v>
      </c>
      <c r="E27" s="5" t="n">
        <f aca="false">ROUND(MAX(Predictor!$B$5,MIN(Predictor!$B$6,INDEX(Predictor!$B$12:$B$14,MATCH(B27,Predictor!$A$12:$A$14,0))*(1+Predictor!$B$7*SUMPRODUCT(--ISNUMBER(SEARCH(Predictor!$A$17:$A$35,C27))))/(1+Predictor!$B$8*SUMPRODUCT(--ISNUMBER(SEARCH(Predictor!$C$17:$C$21,C27)))))),0)</f>
        <v>30</v>
      </c>
      <c r="F27" s="2" t="str">
        <f aca="false">IF(E27&lt;=Predictor!$B$9,"interactive","batch")</f>
        <v>interactive</v>
      </c>
      <c r="G27" s="6"/>
      <c r="H27" s="7" t="str">
        <f aca="false">IF(G27="","",ABS(E27-G27)/G27)</f>
        <v/>
      </c>
    </row>
    <row r="28" customFormat="false" ht="15" hidden="false" customHeight="false" outlineLevel="0" collapsed="false">
      <c r="A28" s="2" t="s">
        <v>61</v>
      </c>
      <c r="B28" s="3" t="s">
        <v>9</v>
      </c>
      <c r="C28" s="4" t="s">
        <v>62</v>
      </c>
      <c r="D28" s="5" t="n">
        <f aca="false">ROUNDUP(LEN(C28)/Predictor!$B$4,0)</f>
        <v>9</v>
      </c>
      <c r="E28" s="5" t="n">
        <f aca="false">ROUND(MAX(Predictor!$B$5,MIN(Predictor!$B$6,INDEX(Predictor!$B$12:$B$14,MATCH(B28,Predictor!$A$12:$A$14,0))*(1+Predictor!$B$7*SUMPRODUCT(--ISNUMBER(SEARCH(Predictor!$A$17:$A$35,C28))))/(1+Predictor!$B$8*SUMPRODUCT(--ISNUMBER(SEARCH(Predictor!$C$17:$C$21,C28)))))),0)</f>
        <v>30</v>
      </c>
      <c r="F28" s="2" t="str">
        <f aca="false">IF(E28&lt;=Predictor!$B$9,"interactive","batch")</f>
        <v>interactive</v>
      </c>
      <c r="G28" s="6"/>
      <c r="H28" s="7" t="str">
        <f aca="false">IF(G28="","",ABS(E28-G28)/G28)</f>
        <v/>
      </c>
    </row>
    <row r="29" customFormat="false" ht="15" hidden="false" customHeight="false" outlineLevel="0" collapsed="false">
      <c r="A29" s="2" t="s">
        <v>63</v>
      </c>
      <c r="B29" s="3" t="s">
        <v>9</v>
      </c>
      <c r="C29" s="4" t="s">
        <v>64</v>
      </c>
      <c r="D29" s="5" t="n">
        <f aca="false">ROUNDUP(LEN(C29)/Predictor!$B$4,0)</f>
        <v>9</v>
      </c>
      <c r="E29" s="5" t="n">
        <f aca="false">ROUND(MAX(Predictor!$B$5,MIN(Predictor!$B$6,INDEX(Predictor!$B$12:$B$14,MATCH(B29,Predictor!$A$12:$A$14,0))*(1+Predictor!$B$7*SUMPRODUCT(--ISNUMBER(SEARCH(Predictor!$A$17:$A$35,C29))))/(1+Predictor!$B$8*SUMPRODUCT(--ISNUMBER(SEARCH(Predictor!$C$17:$C$21,C29)))))),0)</f>
        <v>30</v>
      </c>
      <c r="F29" s="2" t="str">
        <f aca="false">IF(E29&lt;=Predictor!$B$9,"interactive","batch")</f>
        <v>interactive</v>
      </c>
      <c r="G29" s="6"/>
      <c r="H29" s="7" t="str">
        <f aca="false">IF(G29="","",ABS(E29-G29)/G29)</f>
        <v/>
      </c>
    </row>
    <row r="30" customFormat="false" ht="15" hidden="false" customHeight="false" outlineLevel="0" collapsed="false">
      <c r="A30" s="2" t="s">
        <v>65</v>
      </c>
      <c r="B30" s="3" t="s">
        <v>9</v>
      </c>
      <c r="C30" s="4" t="s">
        <v>66</v>
      </c>
      <c r="D30" s="5" t="n">
        <f aca="false">ROUNDUP(LEN(C30)/Predictor!$B$4,0)</f>
        <v>11</v>
      </c>
      <c r="E30" s="5" t="n">
        <f aca="false">ROUND(MAX(Predictor!$B$5,MIN(Predictor!$B$6,INDEX(Predictor!$B$12:$B$14,MATCH(B30,Predictor!$A$12:$A$14,0))*(1+Predictor!$B$7*SUMPRODUCT(--ISNUMBER(SEARCH(Predictor!$A$17:$A$35,C30))))/(1+Predictor!$B$8*SUMPRODUCT(--ISNUMBER(SEARCH(Predictor!$C$17:$C$21,C30)))))),0)</f>
        <v>30</v>
      </c>
      <c r="F30" s="2" t="str">
        <f aca="false">IF(E30&lt;=Predictor!$B$9,"interactive","batch")</f>
        <v>interactive</v>
      </c>
      <c r="G30" s="6"/>
      <c r="H30" s="7" t="str">
        <f aca="false">IF(G30="","",ABS(E30-G30)/G30)</f>
        <v/>
      </c>
    </row>
    <row r="31" customFormat="false" ht="15" hidden="false" customHeight="false" outlineLevel="0" collapsed="false">
      <c r="A31" s="2" t="s">
        <v>67</v>
      </c>
      <c r="B31" s="3" t="s">
        <v>9</v>
      </c>
      <c r="C31" s="4" t="s">
        <v>68</v>
      </c>
      <c r="D31" s="5" t="n">
        <f aca="false">ROUNDUP(LEN(C31)/Predictor!$B$4,0)</f>
        <v>14</v>
      </c>
      <c r="E31" s="5" t="n">
        <f aca="false">ROUND(MAX(Predictor!$B$5,MIN(Predictor!$B$6,INDEX(Predictor!$B$12:$B$14,MATCH(B31,Predictor!$A$12:$A$14,0))*(1+Predictor!$B$7*SUMPRODUCT(--ISNUMBER(SEARCH(Predictor!$A$17:$A$35,C31))))/(1+Predictor!$B$8*SUMPRODUCT(--ISNUMBER(SEARCH(Predictor!$C$17:$C$21,C31)))))),0)</f>
        <v>30</v>
      </c>
      <c r="F31" s="2" t="str">
        <f aca="false">IF(E31&lt;=Predictor!$B$9,"interactive","batch")</f>
        <v>interactive</v>
      </c>
      <c r="G31" s="6"/>
      <c r="H31" s="7" t="str">
        <f aca="false">IF(G31="","",ABS(E31-G31)/G31)</f>
        <v/>
      </c>
    </row>
    <row r="32" customFormat="false" ht="15" hidden="false" customHeight="false" outlineLevel="0" collapsed="false">
      <c r="A32" s="2" t="s">
        <v>69</v>
      </c>
      <c r="B32" s="3" t="s">
        <v>9</v>
      </c>
      <c r="C32" s="4" t="s">
        <v>70</v>
      </c>
      <c r="D32" s="5" t="n">
        <f aca="false">ROUNDUP(LEN(C32)/Predictor!$B$4,0)</f>
        <v>11</v>
      </c>
      <c r="E32" s="5" t="n">
        <f aca="false">ROUND(MAX(Predictor!$B$5,MIN(Predictor!$B$6,INDEX(Predictor!$B$12:$B$14,MATCH(B32,Predictor!$A$12:$A$14,0))*(1+Predictor!$B$7*SUMPRODUCT(--ISNUMBER(SEARCH(Predictor!$A$17:$A$35,C32))))/(1+Predictor!$B$8*SUMPRODUCT(--ISNUMBER(SEARCH(Predictor!$C$17:$C$21,C32)))))),0)</f>
        <v>30</v>
      </c>
      <c r="F32" s="2" t="str">
        <f aca="false">IF(E32&lt;=Predictor!$B$9,"interactive","batch")</f>
        <v>interactive</v>
      </c>
      <c r="G32" s="6"/>
      <c r="H32" s="7" t="str">
        <f aca="false">IF(G32="","",ABS(E32-G32)/G32)</f>
        <v/>
      </c>
    </row>
    <row r="33" customFormat="false" ht="15" hidden="false" customHeight="false" outlineLevel="0" collapsed="false">
      <c r="A33" s="2" t="s">
        <v>71</v>
      </c>
      <c r="B33" s="3" t="s">
        <v>9</v>
      </c>
      <c r="C33" s="4" t="s">
        <v>72</v>
      </c>
      <c r="D33" s="5" t="n">
        <f aca="false">ROUNDUP(LEN(C33)/Predictor!$B$4,0)</f>
        <v>5</v>
      </c>
      <c r="E33" s="5" t="n">
        <f aca="false">ROUND(MAX(Predictor!$B$5,MIN(Predictor!$B$6,INDEX(Predictor!$B$12:$B$14,MATCH(B33,Predictor!$A$12:$A$14,0))*(1+Predictor!$B$7*SUMPRODUCT(--ISNUMBER(SEARCH(Predictor!$A$17:$A$35,C33))))/(1+Predictor!$B$8*SUMPRODUCT(--ISNUMBER(SEARCH(Predictor!$C$17:$C$21,C33)))))),0)</f>
        <v>30</v>
      </c>
      <c r="F33" s="2" t="str">
        <f aca="false">IF(E33&lt;=Predictor!$B$9,"interactive","batch")</f>
        <v>interactive</v>
      </c>
      <c r="G33" s="6"/>
      <c r="H33" s="7" t="str">
        <f aca="false">IF(G33="","",ABS(E33-G33)/G33)</f>
        <v/>
      </c>
    </row>
    <row r="34" customFormat="false" ht="15" hidden="false" customHeight="false" outlineLevel="0" collapsed="false">
      <c r="A34" s="2" t="s">
        <v>73</v>
      </c>
      <c r="B34" s="3" t="s">
        <v>9</v>
      </c>
      <c r="C34" s="4" t="s">
        <v>74</v>
      </c>
      <c r="D34" s="5" t="n">
        <f aca="false">ROUNDUP(LEN(C34)/Predictor!$B$4,0)</f>
        <v>6</v>
      </c>
      <c r="E34" s="5" t="n">
        <f aca="false">ROUND(MAX(Predictor!$B$5,MIN(Predictor!$B$6,INDEX(Predictor!$B$12:$B$14,MATCH(B34,Predictor!$A$12:$A$14,0))*(1+Predictor!$B$7*SUMPRODUCT(--ISNUMBER(SEARCH(Predictor!$A$17:$A$35,C34))))/(1+Predictor!$B$8*SUMPRODUCT(--ISNUMBER(SEARCH(Predictor!$C$17:$C$21,C34)))))),0)</f>
        <v>30</v>
      </c>
      <c r="F34" s="2" t="str">
        <f aca="false">IF(E34&lt;=Predictor!$B$9,"interactive","batch")</f>
        <v>interactive</v>
      </c>
      <c r="G34" s="6"/>
      <c r="H34" s="7" t="str">
        <f aca="false">IF(G34="","",ABS(E34-G34)/G34)</f>
        <v/>
      </c>
    </row>
    <row r="35" customFormat="false" ht="15" hidden="false" customHeight="false" outlineLevel="0" collapsed="false">
      <c r="A35" s="2" t="s">
        <v>75</v>
      </c>
      <c r="B35" s="3" t="s">
        <v>9</v>
      </c>
      <c r="C35" s="4" t="s">
        <v>76</v>
      </c>
      <c r="D35" s="5" t="n">
        <f aca="false">ROUNDUP(LEN(C35)/Predictor!$B$4,0)</f>
        <v>12</v>
      </c>
      <c r="E35" s="5" t="n">
        <f aca="false">ROUND(MAX(Predictor!$B$5,MIN(Predictor!$B$6,INDEX(Predictor!$B$12:$B$14,MATCH(B35,Predictor!$A$12:$A$14,0))*(1+Predictor!$B$7*SUMPRODUCT(--ISNUMBER(SEARCH(Predictor!$A$17:$A$35,C35))))/(1+Predictor!$B$8*SUMPRODUCT(--ISNUMBER(SEARCH(Predictor!$C$17:$C$21,C35)))))),0)</f>
        <v>30</v>
      </c>
      <c r="F35" s="2" t="str">
        <f aca="false">IF(E35&lt;=Predictor!$B$9,"interactive","batch")</f>
        <v>interactive</v>
      </c>
      <c r="G35" s="6"/>
      <c r="H35" s="7" t="str">
        <f aca="false">IF(G35="","",ABS(E35-G35)/G35)</f>
        <v/>
      </c>
    </row>
    <row r="36" customFormat="false" ht="15" hidden="false" customHeight="false" outlineLevel="0" collapsed="false">
      <c r="A36" s="2" t="s">
        <v>77</v>
      </c>
      <c r="B36" s="3" t="s">
        <v>9</v>
      </c>
      <c r="C36" s="4" t="s">
        <v>78</v>
      </c>
      <c r="D36" s="5" t="n">
        <f aca="false">ROUNDUP(LEN(C36)/Predictor!$B$4,0)</f>
        <v>10</v>
      </c>
      <c r="E36" s="5" t="n">
        <f aca="false">ROUND(MAX(Predictor!$B$5,MIN(Predictor!$B$6,INDEX(Predictor!$B$12:$B$14,MATCH(B36,Predictor!$A$12:$A$14,0))*(1+Predictor!$B$7*SUMPRODUCT(--ISNUMBER(SEARCH(Predictor!$A$17:$A$35,C36))))/(1+Predictor!$B$8*SUMPRODUCT(--ISNUMBER(SEARCH(Predictor!$C$17:$C$21,C36)))))),0)</f>
        <v>30</v>
      </c>
      <c r="F36" s="2" t="str">
        <f aca="false">IF(E36&lt;=Predictor!$B$9,"interactive","batch")</f>
        <v>interactive</v>
      </c>
      <c r="G36" s="6"/>
      <c r="H36" s="7" t="str">
        <f aca="false">IF(G36="","",ABS(E36-G36)/G36)</f>
        <v/>
      </c>
    </row>
    <row r="37" customFormat="false" ht="15" hidden="false" customHeight="false" outlineLevel="0" collapsed="false">
      <c r="A37" s="2" t="s">
        <v>79</v>
      </c>
      <c r="B37" s="3" t="s">
        <v>9</v>
      </c>
      <c r="C37" s="4" t="s">
        <v>80</v>
      </c>
      <c r="D37" s="5" t="n">
        <f aca="false">ROUNDUP(LEN(C37)/Predictor!$B$4,0)</f>
        <v>8</v>
      </c>
      <c r="E37" s="5" t="n">
        <f aca="false">ROUND(MAX(Predictor!$B$5,MIN(Predictor!$B$6,INDEX(Predictor!$B$12:$B$14,MATCH(B37,Predictor!$A$12:$A$14,0))*(1+Predictor!$B$7*SUMPRODUCT(--ISNUMBER(SEARCH(Predictor!$A$17:$A$35,C37))))/(1+Predictor!$B$8*SUMPRODUCT(--ISNUMBER(SEARCH(Predictor!$C$17:$C$21,C37)))))),0)</f>
        <v>30</v>
      </c>
      <c r="F37" s="2" t="str">
        <f aca="false">IF(E37&lt;=Predictor!$B$9,"interactive","batch")</f>
        <v>interactive</v>
      </c>
      <c r="G37" s="6"/>
      <c r="H37" s="7" t="str">
        <f aca="false">IF(G37="","",ABS(E37-G37)/G37)</f>
        <v/>
      </c>
    </row>
    <row r="38" customFormat="false" ht="15" hidden="false" customHeight="false" outlineLevel="0" collapsed="false">
      <c r="A38" s="2" t="s">
        <v>81</v>
      </c>
      <c r="B38" s="3" t="s">
        <v>9</v>
      </c>
      <c r="C38" s="4" t="s">
        <v>82</v>
      </c>
      <c r="D38" s="5" t="n">
        <f aca="false">ROUNDUP(LEN(C38)/Predictor!$B$4,0)</f>
        <v>12</v>
      </c>
      <c r="E38" s="5" t="n">
        <f aca="false">ROUND(MAX(Predictor!$B$5,MIN(Predictor!$B$6,INDEX(Predictor!$B$12:$B$14,MATCH(B38,Predictor!$A$12:$A$14,0))*(1+Predictor!$B$7*SUMPRODUCT(--ISNUMBER(SEARCH(Predictor!$A$17:$A$35,C38))))/(1+Predictor!$B$8*SUMPRODUCT(--ISNUMBER(SEARCH(Predictor!$C$17:$C$21,C38)))))),0)</f>
        <v>30</v>
      </c>
      <c r="F38" s="2" t="str">
        <f aca="false">IF(E38&lt;=Predictor!$B$9,"interactive","batch")</f>
        <v>interactive</v>
      </c>
      <c r="G38" s="6"/>
      <c r="H38" s="7" t="str">
        <f aca="false">IF(G38="","",ABS(E38-G38)/G38)</f>
        <v/>
      </c>
    </row>
    <row r="39" customFormat="false" ht="15" hidden="false" customHeight="false" outlineLevel="0" collapsed="false">
      <c r="A39" s="2" t="s">
        <v>83</v>
      </c>
      <c r="B39" s="3" t="s">
        <v>9</v>
      </c>
      <c r="C39" s="4" t="s">
        <v>84</v>
      </c>
      <c r="D39" s="5" t="n">
        <f aca="false">ROUNDUP(LEN(C39)/Predictor!$B$4,0)</f>
        <v>7</v>
      </c>
      <c r="E39" s="5" t="n">
        <f aca="false">ROUND(MAX(Predictor!$B$5,MIN(Predictor!$B$6,INDEX(Predictor!$B$12:$B$14,MATCH(B39,Predictor!$A$12:$A$14,0))*(1+Predictor!$B$7*SUMPRODUCT(--ISNUMBER(SEARCH(Predictor!$A$17:$A$35,C39))))/(1+Predictor!$B$8*SUMPRODUCT(--ISNUMBER(SEARCH(Predictor!$C$17:$C$21,C39)))))),0)</f>
        <v>30</v>
      </c>
      <c r="F39" s="2" t="str">
        <f aca="false">IF(E39&lt;=Predictor!$B$9,"interactive","batch")</f>
        <v>interactive</v>
      </c>
      <c r="G39" s="6"/>
      <c r="H39" s="7" t="str">
        <f aca="false">IF(G39="","",ABS(E39-G39)/G39)</f>
        <v/>
      </c>
    </row>
    <row r="40" customFormat="false" ht="15" hidden="false" customHeight="false" outlineLevel="0" collapsed="false">
      <c r="A40" s="2" t="s">
        <v>85</v>
      </c>
      <c r="B40" s="3" t="s">
        <v>9</v>
      </c>
      <c r="C40" s="4" t="s">
        <v>86</v>
      </c>
      <c r="D40" s="5" t="n">
        <f aca="false">ROUNDUP(LEN(C40)/Predictor!$B$4,0)</f>
        <v>10</v>
      </c>
      <c r="E40" s="5" t="n">
        <f aca="false">ROUND(MAX(Predictor!$B$5,MIN(Predictor!$B$6,INDEX(Predictor!$B$12:$B$14,MATCH(B40,Predictor!$A$12:$A$14,0))*(1+Predictor!$B$7*SUMPRODUCT(--ISNUMBER(SEARCH(Predictor!$A$17:$A$35,C40))))/(1+Predictor!$B$8*SUMPRODUCT(--ISNUMBER(SEARCH(Predictor!$C$17:$C$21,C40)))))),0)</f>
        <v>30</v>
      </c>
      <c r="F40" s="2" t="str">
        <f aca="false">IF(E40&lt;=Predictor!$B$9,"interactive","batch")</f>
        <v>interactive</v>
      </c>
      <c r="G40" s="6"/>
      <c r="H40" s="7" t="str">
        <f aca="false">IF(G40="","",ABS(E40-G40)/G40)</f>
        <v/>
      </c>
    </row>
    <row r="41" customFormat="false" ht="15" hidden="false" customHeight="false" outlineLevel="0" collapsed="false">
      <c r="A41" s="2" t="s">
        <v>87</v>
      </c>
      <c r="B41" s="3" t="s">
        <v>9</v>
      </c>
      <c r="C41" s="4" t="s">
        <v>88</v>
      </c>
      <c r="D41" s="5" t="n">
        <f aca="false">ROUNDUP(LEN(C41)/Predictor!$B$4,0)</f>
        <v>7</v>
      </c>
      <c r="E41" s="5" t="n">
        <f aca="false">ROUND(MAX(Predictor!$B$5,MIN(Predictor!$B$6,INDEX(Predictor!$B$12:$B$14,MATCH(B41,Predictor!$A$12:$A$14,0))*(1+Predictor!$B$7*SUMPRODUCT(--ISNUMBER(SEARCH(Predictor!$A$17:$A$35,C41))))/(1+Predictor!$B$8*SUMPRODUCT(--ISNUMBER(SEARCH(Predictor!$C$17:$C$21,C41)))))),0)</f>
        <v>30</v>
      </c>
      <c r="F41" s="2" t="str">
        <f aca="false">IF(E41&lt;=Predictor!$B$9,"interactive","batch")</f>
        <v>interactive</v>
      </c>
      <c r="G41" s="6"/>
      <c r="H41" s="7" t="str">
        <f aca="false">IF(G41="","",ABS(E41-G41)/G41)</f>
        <v/>
      </c>
    </row>
    <row r="42" customFormat="false" ht="15" hidden="false" customHeight="false" outlineLevel="0" collapsed="false">
      <c r="A42" s="2" t="s">
        <v>89</v>
      </c>
      <c r="B42" s="3" t="s">
        <v>9</v>
      </c>
      <c r="C42" s="4" t="s">
        <v>90</v>
      </c>
      <c r="D42" s="5" t="n">
        <f aca="false">ROUNDUP(LEN(C42)/Predictor!$B$4,0)</f>
        <v>6</v>
      </c>
      <c r="E42" s="5" t="n">
        <f aca="false">ROUND(MAX(Predictor!$B$5,MIN(Predictor!$B$6,INDEX(Predictor!$B$12:$B$14,MATCH(B42,Predictor!$A$12:$A$14,0))*(1+Predictor!$B$7*SUMPRODUCT(--ISNUMBER(SEARCH(Predictor!$A$17:$A$35,C42))))/(1+Predictor!$B$8*SUMPRODUCT(--ISNUMBER(SEARCH(Predictor!$C$17:$C$21,C42)))))),0)</f>
        <v>30</v>
      </c>
      <c r="F42" s="2" t="str">
        <f aca="false">IF(E42&lt;=Predictor!$B$9,"interactive","batch")</f>
        <v>interactive</v>
      </c>
      <c r="G42" s="6"/>
      <c r="H42" s="7" t="str">
        <f aca="false">IF(G42="","",ABS(E42-G42)/G42)</f>
        <v/>
      </c>
    </row>
    <row r="43" customFormat="false" ht="15" hidden="false" customHeight="false" outlineLevel="0" collapsed="false">
      <c r="A43" s="2" t="s">
        <v>91</v>
      </c>
      <c r="B43" s="3" t="s">
        <v>9</v>
      </c>
      <c r="C43" s="4" t="s">
        <v>92</v>
      </c>
      <c r="D43" s="5" t="n">
        <f aca="false">ROUNDUP(LEN(C43)/Predictor!$B$4,0)</f>
        <v>9</v>
      </c>
      <c r="E43" s="5" t="n">
        <f aca="false">ROUND(MAX(Predictor!$B$5,MIN(Predictor!$B$6,INDEX(Predictor!$B$12:$B$14,MATCH(B43,Predictor!$A$12:$A$14,0))*(1+Predictor!$B$7*SUMPRODUCT(--ISNUMBER(SEARCH(Predictor!$A$17:$A$35,C43))))/(1+Predictor!$B$8*SUMPRODUCT(--ISNUMBER(SEARCH(Predictor!$C$17:$C$21,C43)))))),0)</f>
        <v>30</v>
      </c>
      <c r="F43" s="2" t="str">
        <f aca="false">IF(E43&lt;=Predictor!$B$9,"interactive","batch")</f>
        <v>interactive</v>
      </c>
      <c r="G43" s="6"/>
      <c r="H43" s="7" t="str">
        <f aca="false">IF(G43="","",ABS(E43-G43)/G43)</f>
        <v/>
      </c>
    </row>
    <row r="44" customFormat="false" ht="15" hidden="false" customHeight="false" outlineLevel="0" collapsed="false">
      <c r="A44" s="2" t="s">
        <v>93</v>
      </c>
      <c r="B44" s="3" t="s">
        <v>9</v>
      </c>
      <c r="C44" s="4" t="s">
        <v>94</v>
      </c>
      <c r="D44" s="5" t="n">
        <f aca="false">ROUNDUP(LEN(C44)/Predictor!$B$4,0)</f>
        <v>9</v>
      </c>
      <c r="E44" s="5" t="n">
        <f aca="false">ROUND(MAX(Predictor!$B$5,MIN(Predictor!$B$6,INDEX(Predictor!$B$12:$B$14,MATCH(B44,Predictor!$A$12:$A$14,0))*(1+Predictor!$B$7*SUMPRODUCT(--ISNUMBER(SEARCH(Predictor!$A$17:$A$35,C44))))/(1+Predictor!$B$8*SUMPRODUCT(--ISNUMBER(SEARCH(Predictor!$C$17:$C$21,C44)))))),0)</f>
        <v>30</v>
      </c>
      <c r="F44" s="2" t="str">
        <f aca="false">IF(E44&lt;=Predictor!$B$9,"interactive","batch")</f>
        <v>interactive</v>
      </c>
      <c r="G44" s="6"/>
      <c r="H44" s="7" t="str">
        <f aca="false">IF(G44="","",ABS(E44-G44)/G44)</f>
        <v/>
      </c>
    </row>
    <row r="45" customFormat="false" ht="15" hidden="false" customHeight="false" outlineLevel="0" collapsed="false">
      <c r="A45" s="2" t="s">
        <v>95</v>
      </c>
      <c r="B45" s="3" t="s">
        <v>9</v>
      </c>
      <c r="C45" s="4" t="s">
        <v>96</v>
      </c>
      <c r="D45" s="5" t="n">
        <f aca="false">ROUNDUP(LEN(C45)/Predictor!$B$4,0)</f>
        <v>12</v>
      </c>
      <c r="E45" s="5" t="n">
        <f aca="false">ROUND(MAX(Predictor!$B$5,MIN(Predictor!$B$6,INDEX(Predictor!$B$12:$B$14,MATCH(B45,Predictor!$A$12:$A$14,0))*(1+Predictor!$B$7*SUMPRODUCT(--ISNUMBER(SEARCH(Predictor!$A$17:$A$35,C45))))/(1+Predictor!$B$8*SUMPRODUCT(--ISNUMBER(SEARCH(Predictor!$C$17:$C$21,C45)))))),0)</f>
        <v>30</v>
      </c>
      <c r="F45" s="2" t="str">
        <f aca="false">IF(E45&lt;=Predictor!$B$9,"interactive","batch")</f>
        <v>interactive</v>
      </c>
      <c r="G45" s="6"/>
      <c r="H45" s="7" t="str">
        <f aca="false">IF(G45="","",ABS(E45-G45)/G45)</f>
        <v/>
      </c>
    </row>
    <row r="46" customFormat="false" ht="15" hidden="false" customHeight="false" outlineLevel="0" collapsed="false">
      <c r="A46" s="2" t="s">
        <v>97</v>
      </c>
      <c r="B46" s="3" t="s">
        <v>9</v>
      </c>
      <c r="C46" s="4" t="s">
        <v>98</v>
      </c>
      <c r="D46" s="5" t="n">
        <f aca="false">ROUNDUP(LEN(C46)/Predictor!$B$4,0)</f>
        <v>12</v>
      </c>
      <c r="E46" s="5" t="n">
        <f aca="false">ROUND(MAX(Predictor!$B$5,MIN(Predictor!$B$6,INDEX(Predictor!$B$12:$B$14,MATCH(B46,Predictor!$A$12:$A$14,0))*(1+Predictor!$B$7*SUMPRODUCT(--ISNUMBER(SEARCH(Predictor!$A$17:$A$35,C46))))/(1+Predictor!$B$8*SUMPRODUCT(--ISNUMBER(SEARCH(Predictor!$C$17:$C$21,C46)))))),0)</f>
        <v>30</v>
      </c>
      <c r="F46" s="2" t="str">
        <f aca="false">IF(E46&lt;=Predictor!$B$9,"interactive","batch")</f>
        <v>interactive</v>
      </c>
      <c r="G46" s="6"/>
      <c r="H46" s="7" t="str">
        <f aca="false">IF(G46="","",ABS(E46-G46)/G46)</f>
        <v/>
      </c>
    </row>
    <row r="47" customFormat="false" ht="15" hidden="false" customHeight="false" outlineLevel="0" collapsed="false">
      <c r="A47" s="2" t="s">
        <v>99</v>
      </c>
      <c r="B47" s="3" t="s">
        <v>9</v>
      </c>
      <c r="C47" s="4" t="s">
        <v>100</v>
      </c>
      <c r="D47" s="5" t="n">
        <f aca="false">ROUNDUP(LEN(C47)/Predictor!$B$4,0)</f>
        <v>7</v>
      </c>
      <c r="E47" s="5" t="n">
        <f aca="false">ROUND(MAX(Predictor!$B$5,MIN(Predictor!$B$6,INDEX(Predictor!$B$12:$B$14,MATCH(B47,Predictor!$A$12:$A$14,0))*(1+Predictor!$B$7*SUMPRODUCT(--ISNUMBER(SEARCH(Predictor!$A$17:$A$35,C47))))/(1+Predictor!$B$8*SUMPRODUCT(--ISNUMBER(SEARCH(Predictor!$C$17:$C$21,C47)))))),0)</f>
        <v>30</v>
      </c>
      <c r="F47" s="2" t="str">
        <f aca="false">IF(E47&lt;=Predictor!$B$9,"interactive","batch")</f>
        <v>interactive</v>
      </c>
      <c r="G47" s="6"/>
      <c r="H47" s="7" t="str">
        <f aca="false">IF(G47="","",ABS(E47-G47)/G47)</f>
        <v/>
      </c>
    </row>
    <row r="48" customFormat="false" ht="15" hidden="false" customHeight="false" outlineLevel="0" collapsed="false">
      <c r="A48" s="2" t="s">
        <v>101</v>
      </c>
      <c r="B48" s="3" t="s">
        <v>9</v>
      </c>
      <c r="C48" s="4" t="s">
        <v>102</v>
      </c>
      <c r="D48" s="5" t="n">
        <f aca="false">ROUNDUP(LEN(C48)/Predictor!$B$4,0)</f>
        <v>5</v>
      </c>
      <c r="E48" s="5" t="n">
        <f aca="false">ROUND(MAX(Predictor!$B$5,MIN(Predictor!$B$6,INDEX(Predictor!$B$12:$B$14,MATCH(B48,Predictor!$A$12:$A$14,0))*(1+Predictor!$B$7*SUMPRODUCT(--ISNUMBER(SEARCH(Predictor!$A$17:$A$35,C48))))/(1+Predictor!$B$8*SUMPRODUCT(--ISNUMBER(SEARCH(Predictor!$C$17:$C$21,C48)))))),0)</f>
        <v>30</v>
      </c>
      <c r="F48" s="2" t="str">
        <f aca="false">IF(E48&lt;=Predictor!$B$9,"interactive","batch")</f>
        <v>interactive</v>
      </c>
      <c r="G48" s="6"/>
      <c r="H48" s="7" t="str">
        <f aca="false">IF(G48="","",ABS(E48-G48)/G48)</f>
        <v/>
      </c>
    </row>
    <row r="49" customFormat="false" ht="15" hidden="false" customHeight="false" outlineLevel="0" collapsed="false">
      <c r="A49" s="2" t="s">
        <v>103</v>
      </c>
      <c r="B49" s="3" t="s">
        <v>9</v>
      </c>
      <c r="C49" s="4" t="s">
        <v>104</v>
      </c>
      <c r="D49" s="5" t="n">
        <f aca="false">ROUNDUP(LEN(C49)/Predictor!$B$4,0)</f>
        <v>10</v>
      </c>
      <c r="E49" s="5" t="n">
        <f aca="false">ROUND(MAX(Predictor!$B$5,MIN(Predictor!$B$6,INDEX(Predictor!$B$12:$B$14,MATCH(B49,Predictor!$A$12:$A$14,0))*(1+Predictor!$B$7*SUMPRODUCT(--ISNUMBER(SEARCH(Predictor!$A$17:$A$35,C49))))/(1+Predictor!$B$8*SUMPRODUCT(--ISNUMBER(SEARCH(Predictor!$C$17:$C$21,C49)))))),0)</f>
        <v>30</v>
      </c>
      <c r="F49" s="2" t="str">
        <f aca="false">IF(E49&lt;=Predictor!$B$9,"interactive","batch")</f>
        <v>interactive</v>
      </c>
      <c r="G49" s="6"/>
      <c r="H49" s="7" t="str">
        <f aca="false">IF(G49="","",ABS(E49-G49)/G49)</f>
        <v/>
      </c>
    </row>
    <row r="50" customFormat="false" ht="15" hidden="false" customHeight="false" outlineLevel="0" collapsed="false">
      <c r="A50" s="2" t="s">
        <v>105</v>
      </c>
      <c r="B50" s="3" t="s">
        <v>9</v>
      </c>
      <c r="C50" s="4" t="s">
        <v>106</v>
      </c>
      <c r="D50" s="5" t="n">
        <f aca="false">ROUNDUP(LEN(C50)/Predictor!$B$4,0)</f>
        <v>9</v>
      </c>
      <c r="E50" s="5" t="n">
        <f aca="false">ROUND(MAX(Predictor!$B$5,MIN(Predictor!$B$6,INDEX(Predictor!$B$12:$B$14,MATCH(B50,Predictor!$A$12:$A$14,0))*(1+Predictor!$B$7*SUMPRODUCT(--ISNUMBER(SEARCH(Predictor!$A$17:$A$35,C50))))/(1+Predictor!$B$8*SUMPRODUCT(--ISNUMBER(SEARCH(Predictor!$C$17:$C$21,C50)))))),0)</f>
        <v>30</v>
      </c>
      <c r="F50" s="2" t="str">
        <f aca="false">IF(E50&lt;=Predictor!$B$9,"interactive","batch")</f>
        <v>interactive</v>
      </c>
      <c r="G50" s="6"/>
      <c r="H50" s="7" t="str">
        <f aca="false">IF(G50="","",ABS(E50-G50)/G50)</f>
        <v/>
      </c>
    </row>
    <row r="51" customFormat="false" ht="15" hidden="false" customHeight="false" outlineLevel="0" collapsed="false">
      <c r="A51" s="2" t="s">
        <v>107</v>
      </c>
      <c r="B51" s="3" t="s">
        <v>9</v>
      </c>
      <c r="C51" s="4" t="s">
        <v>108</v>
      </c>
      <c r="D51" s="5" t="n">
        <f aca="false">ROUNDUP(LEN(C51)/Predictor!$B$4,0)</f>
        <v>10</v>
      </c>
      <c r="E51" s="5" t="n">
        <f aca="false">ROUND(MAX(Predictor!$B$5,MIN(Predictor!$B$6,INDEX(Predictor!$B$12:$B$14,MATCH(B51,Predictor!$A$12:$A$14,0))*(1+Predictor!$B$7*SUMPRODUCT(--ISNUMBER(SEARCH(Predictor!$A$17:$A$35,C51))))/(1+Predictor!$B$8*SUMPRODUCT(--ISNUMBER(SEARCH(Predictor!$C$17:$C$21,C51)))))),0)</f>
        <v>30</v>
      </c>
      <c r="F51" s="2" t="str">
        <f aca="false">IF(E51&lt;=Predictor!$B$9,"interactive","batch")</f>
        <v>interactive</v>
      </c>
      <c r="G51" s="6"/>
      <c r="H51" s="7" t="str">
        <f aca="false">IF(G51="","",ABS(E51-G51)/G51)</f>
        <v/>
      </c>
    </row>
    <row r="52" customFormat="false" ht="15" hidden="false" customHeight="false" outlineLevel="0" collapsed="false">
      <c r="A52" s="2" t="s">
        <v>109</v>
      </c>
      <c r="B52" s="8" t="s">
        <v>110</v>
      </c>
      <c r="C52" s="4" t="s">
        <v>111</v>
      </c>
      <c r="D52" s="5" t="n">
        <f aca="false">ROUNDUP(LEN(C52)/Predictor!$B$4,0)</f>
        <v>14</v>
      </c>
      <c r="E52" s="5" t="n">
        <f aca="false">ROUND(MAX(Predictor!$B$5,MIN(Predictor!$B$6,INDEX(Predictor!$B$12:$B$14,MATCH(B52,Predictor!$A$12:$A$14,0))*(1+Predictor!$B$7*SUMPRODUCT(--ISNUMBER(SEARCH(Predictor!$A$17:$A$35,C52))))/(1+Predictor!$B$8*SUMPRODUCT(--ISNUMBER(SEARCH(Predictor!$C$17:$C$21,C52)))))),0)</f>
        <v>240</v>
      </c>
      <c r="F52" s="2" t="str">
        <f aca="false">IF(E52&lt;=Predictor!$B$9,"interactive","batch")</f>
        <v>batch</v>
      </c>
      <c r="G52" s="6"/>
      <c r="H52" s="7" t="str">
        <f aca="false">IF(G52="","",ABS(E52-G52)/G52)</f>
        <v/>
      </c>
    </row>
    <row r="53" customFormat="false" ht="15" hidden="false" customHeight="false" outlineLevel="0" collapsed="false">
      <c r="A53" s="2" t="s">
        <v>112</v>
      </c>
      <c r="B53" s="8" t="s">
        <v>110</v>
      </c>
      <c r="C53" s="4" t="s">
        <v>113</v>
      </c>
      <c r="D53" s="5" t="n">
        <f aca="false">ROUNDUP(LEN(C53)/Predictor!$B$4,0)</f>
        <v>14</v>
      </c>
      <c r="E53" s="5" t="n">
        <f aca="false">ROUND(MAX(Predictor!$B$5,MIN(Predictor!$B$6,INDEX(Predictor!$B$12:$B$14,MATCH(B53,Predictor!$A$12:$A$14,0))*(1+Predictor!$B$7*SUMPRODUCT(--ISNUMBER(SEARCH(Predictor!$A$17:$A$35,C53))))/(1+Predictor!$B$8*SUMPRODUCT(--ISNUMBER(SEARCH(Predictor!$C$17:$C$21,C53)))))),0)</f>
        <v>200</v>
      </c>
      <c r="F53" s="2" t="str">
        <f aca="false">IF(E53&lt;=Predictor!$B$9,"interactive","batch")</f>
        <v>batch</v>
      </c>
      <c r="G53" s="6"/>
      <c r="H53" s="7" t="str">
        <f aca="false">IF(G53="","",ABS(E53-G53)/G53)</f>
        <v/>
      </c>
    </row>
    <row r="54" customFormat="false" ht="15" hidden="false" customHeight="false" outlineLevel="0" collapsed="false">
      <c r="A54" s="2" t="s">
        <v>114</v>
      </c>
      <c r="B54" s="8" t="s">
        <v>110</v>
      </c>
      <c r="C54" s="4" t="s">
        <v>115</v>
      </c>
      <c r="D54" s="5" t="n">
        <f aca="false">ROUNDUP(LEN(C54)/Predictor!$B$4,0)</f>
        <v>13</v>
      </c>
      <c r="E54" s="5" t="n">
        <f aca="false">ROUND(MAX(Predictor!$B$5,MIN(Predictor!$B$6,INDEX(Predictor!$B$12:$B$14,MATCH(B54,Predictor!$A$12:$A$14,0))*(1+Predictor!$B$7*SUMPRODUCT(--ISNUMBER(SEARCH(Predictor!$A$17:$A$35,C54))))/(1+Predictor!$B$8*SUMPRODUCT(--ISNUMBER(SEARCH(Predictor!$C$17:$C$21,C54)))))),0)</f>
        <v>240</v>
      </c>
      <c r="F54" s="2" t="str">
        <f aca="false">IF(E54&lt;=Predictor!$B$9,"interactive","batch")</f>
        <v>batch</v>
      </c>
      <c r="G54" s="6"/>
      <c r="H54" s="7" t="str">
        <f aca="false">IF(G54="","",ABS(E54-G54)/G54)</f>
        <v/>
      </c>
    </row>
    <row r="55" customFormat="false" ht="15" hidden="false" customHeight="false" outlineLevel="0" collapsed="false">
      <c r="A55" s="2" t="s">
        <v>116</v>
      </c>
      <c r="B55" s="8" t="s">
        <v>110</v>
      </c>
      <c r="C55" s="4" t="s">
        <v>117</v>
      </c>
      <c r="D55" s="5" t="n">
        <f aca="false">ROUNDUP(LEN(C55)/Predictor!$B$4,0)</f>
        <v>16</v>
      </c>
      <c r="E55" s="5" t="n">
        <f aca="false">ROUND(MAX(Predictor!$B$5,MIN(Predictor!$B$6,INDEX(Predictor!$B$12:$B$14,MATCH(B55,Predictor!$A$12:$A$14,0))*(1+Predictor!$B$7*SUMPRODUCT(--ISNUMBER(SEARCH(Predictor!$A$17:$A$35,C55))))/(1+Predictor!$B$8*SUMPRODUCT(--ISNUMBER(SEARCH(Predictor!$C$17:$C$21,C55)))))),0)</f>
        <v>240</v>
      </c>
      <c r="F55" s="2" t="str">
        <f aca="false">IF(E55&lt;=Predictor!$B$9,"interactive","batch")</f>
        <v>batch</v>
      </c>
      <c r="G55" s="6"/>
      <c r="H55" s="7" t="str">
        <f aca="false">IF(G55="","",ABS(E55-G55)/G55)</f>
        <v/>
      </c>
    </row>
    <row r="56" customFormat="false" ht="15" hidden="false" customHeight="false" outlineLevel="0" collapsed="false">
      <c r="A56" s="2" t="s">
        <v>118</v>
      </c>
      <c r="B56" s="8" t="s">
        <v>110</v>
      </c>
      <c r="C56" s="4" t="s">
        <v>119</v>
      </c>
      <c r="D56" s="5" t="n">
        <f aca="false">ROUNDUP(LEN(C56)/Predictor!$B$4,0)</f>
        <v>10</v>
      </c>
      <c r="E56" s="5" t="n">
        <f aca="false">ROUND(MAX(Predictor!$B$5,MIN(Predictor!$B$6,INDEX(Predictor!$B$12:$B$14,MATCH(B56,Predictor!$A$12:$A$14,0))*(1+Predictor!$B$7*SUMPRODUCT(--ISNUMBER(SEARCH(Predictor!$A$17:$A$35,C56))))/(1+Predictor!$B$8*SUMPRODUCT(--ISNUMBER(SEARCH(Predictor!$C$17:$C$21,C56)))))),0)</f>
        <v>240</v>
      </c>
      <c r="F56" s="2" t="str">
        <f aca="false">IF(E56&lt;=Predictor!$B$9,"interactive","batch")</f>
        <v>batch</v>
      </c>
      <c r="G56" s="6"/>
      <c r="H56" s="7" t="str">
        <f aca="false">IF(G56="","",ABS(E56-G56)/G56)</f>
        <v/>
      </c>
    </row>
    <row r="57" customFormat="false" ht="15" hidden="false" customHeight="false" outlineLevel="0" collapsed="false">
      <c r="A57" s="2" t="s">
        <v>120</v>
      </c>
      <c r="B57" s="8" t="s">
        <v>110</v>
      </c>
      <c r="C57" s="4" t="s">
        <v>121</v>
      </c>
      <c r="D57" s="5" t="n">
        <f aca="false">ROUNDUP(LEN(C57)/Predictor!$B$4,0)</f>
        <v>18</v>
      </c>
      <c r="E57" s="5" t="n">
        <f aca="false">ROUND(MAX(Predictor!$B$5,MIN(Predictor!$B$6,INDEX(Predictor!$B$12:$B$14,MATCH(B57,Predictor!$A$12:$A$14,0))*(1+Predictor!$B$7*SUMPRODUCT(--ISNUMBER(SEARCH(Predictor!$A$17:$A$35,C57))))/(1+Predictor!$B$8*SUMPRODUCT(--ISNUMBER(SEARCH(Predictor!$C$17:$C$21,C57)))))),0)</f>
        <v>240</v>
      </c>
      <c r="F57" s="2" t="str">
        <f aca="false">IF(E57&lt;=Predictor!$B$9,"interactive","batch")</f>
        <v>batch</v>
      </c>
      <c r="G57" s="6"/>
      <c r="H57" s="7" t="str">
        <f aca="false">IF(G57="","",ABS(E57-G57)/G57)</f>
        <v/>
      </c>
    </row>
    <row r="58" customFormat="false" ht="15" hidden="false" customHeight="false" outlineLevel="0" collapsed="false">
      <c r="A58" s="2" t="s">
        <v>122</v>
      </c>
      <c r="B58" s="8" t="s">
        <v>110</v>
      </c>
      <c r="C58" s="4" t="s">
        <v>123</v>
      </c>
      <c r="D58" s="5" t="n">
        <f aca="false">ROUNDUP(LEN(C58)/Predictor!$B$4,0)</f>
        <v>10</v>
      </c>
      <c r="E58" s="5" t="n">
        <f aca="false">ROUND(MAX(Predictor!$B$5,MIN(Predictor!$B$6,INDEX(Predictor!$B$12:$B$14,MATCH(B58,Predictor!$A$12:$A$14,0))*(1+Predictor!$B$7*SUMPRODUCT(--ISNUMBER(SEARCH(Predictor!$A$17:$A$35,C58))))/(1+Predictor!$B$8*SUMPRODUCT(--ISNUMBER(SEARCH(Predictor!$C$17:$C$21,C58)))))),0)</f>
        <v>280</v>
      </c>
      <c r="F58" s="2" t="str">
        <f aca="false">IF(E58&lt;=Predictor!$B$9,"interactive","batch")</f>
        <v>batch</v>
      </c>
      <c r="G58" s="6"/>
      <c r="H58" s="7" t="str">
        <f aca="false">IF(G58="","",ABS(E58-G58)/G58)</f>
        <v/>
      </c>
    </row>
    <row r="59" customFormat="false" ht="15" hidden="false" customHeight="false" outlineLevel="0" collapsed="false">
      <c r="A59" s="2" t="s">
        <v>124</v>
      </c>
      <c r="B59" s="8" t="s">
        <v>110</v>
      </c>
      <c r="C59" s="4" t="s">
        <v>125</v>
      </c>
      <c r="D59" s="5" t="n">
        <f aca="false">ROUNDUP(LEN(C59)/Predictor!$B$4,0)</f>
        <v>11</v>
      </c>
      <c r="E59" s="5" t="n">
        <f aca="false">ROUND(MAX(Predictor!$B$5,MIN(Predictor!$B$6,INDEX(Predictor!$B$12:$B$14,MATCH(B59,Predictor!$A$12:$A$14,0))*(1+Predictor!$B$7*SUMPRODUCT(--ISNUMBER(SEARCH(Predictor!$A$17:$A$35,C59))))/(1+Predictor!$B$8*SUMPRODUCT(--ISNUMBER(SEARCH(Predictor!$C$17:$C$21,C59)))))),0)</f>
        <v>240</v>
      </c>
      <c r="F59" s="2" t="str">
        <f aca="false">IF(E59&lt;=Predictor!$B$9,"interactive","batch")</f>
        <v>batch</v>
      </c>
      <c r="G59" s="6"/>
      <c r="H59" s="7" t="str">
        <f aca="false">IF(G59="","",ABS(E59-G59)/G59)</f>
        <v/>
      </c>
    </row>
    <row r="60" customFormat="false" ht="15" hidden="false" customHeight="false" outlineLevel="0" collapsed="false">
      <c r="A60" s="2" t="s">
        <v>126</v>
      </c>
      <c r="B60" s="8" t="s">
        <v>110</v>
      </c>
      <c r="C60" s="4" t="s">
        <v>127</v>
      </c>
      <c r="D60" s="5" t="n">
        <f aca="false">ROUNDUP(LEN(C60)/Predictor!$B$4,0)</f>
        <v>18</v>
      </c>
      <c r="E60" s="5" t="n">
        <f aca="false">ROUND(MAX(Predictor!$B$5,MIN(Predictor!$B$6,INDEX(Predictor!$B$12:$B$14,MATCH(B60,Predictor!$A$12:$A$14,0))*(1+Predictor!$B$7*SUMPRODUCT(--ISNUMBER(SEARCH(Predictor!$A$17:$A$35,C60))))/(1+Predictor!$B$8*SUMPRODUCT(--ISNUMBER(SEARCH(Predictor!$C$17:$C$21,C60)))))),0)</f>
        <v>200</v>
      </c>
      <c r="F60" s="2" t="str">
        <f aca="false">IF(E60&lt;=Predictor!$B$9,"interactive","batch")</f>
        <v>batch</v>
      </c>
      <c r="G60" s="6"/>
      <c r="H60" s="7" t="str">
        <f aca="false">IF(G60="","",ABS(E60-G60)/G60)</f>
        <v/>
      </c>
    </row>
    <row r="61" customFormat="false" ht="15" hidden="false" customHeight="false" outlineLevel="0" collapsed="false">
      <c r="A61" s="2" t="s">
        <v>128</v>
      </c>
      <c r="B61" s="8" t="s">
        <v>110</v>
      </c>
      <c r="C61" s="4" t="s">
        <v>129</v>
      </c>
      <c r="D61" s="5" t="n">
        <f aca="false">ROUNDUP(LEN(C61)/Predictor!$B$4,0)</f>
        <v>13</v>
      </c>
      <c r="E61" s="5" t="n">
        <f aca="false">ROUND(MAX(Predictor!$B$5,MIN(Predictor!$B$6,INDEX(Predictor!$B$12:$B$14,MATCH(B61,Predictor!$A$12:$A$14,0))*(1+Predictor!$B$7*SUMPRODUCT(--ISNUMBER(SEARCH(Predictor!$A$17:$A$35,C61))))/(1+Predictor!$B$8*SUMPRODUCT(--ISNUMBER(SEARCH(Predictor!$C$17:$C$21,C61)))))),0)</f>
        <v>280</v>
      </c>
      <c r="F61" s="2" t="str">
        <f aca="false">IF(E61&lt;=Predictor!$B$9,"interactive","batch")</f>
        <v>batch</v>
      </c>
      <c r="G61" s="6"/>
      <c r="H61" s="7" t="str">
        <f aca="false">IF(G61="","",ABS(E61-G61)/G61)</f>
        <v/>
      </c>
    </row>
    <row r="62" customFormat="false" ht="15" hidden="false" customHeight="false" outlineLevel="0" collapsed="false">
      <c r="A62" s="2" t="s">
        <v>130</v>
      </c>
      <c r="B62" s="8" t="s">
        <v>110</v>
      </c>
      <c r="C62" s="4" t="s">
        <v>131</v>
      </c>
      <c r="D62" s="5" t="n">
        <f aca="false">ROUNDUP(LEN(C62)/Predictor!$B$4,0)</f>
        <v>16</v>
      </c>
      <c r="E62" s="5" t="n">
        <f aca="false">ROUND(MAX(Predictor!$B$5,MIN(Predictor!$B$6,INDEX(Predictor!$B$12:$B$14,MATCH(B62,Predictor!$A$12:$A$14,0))*(1+Predictor!$B$7*SUMPRODUCT(--ISNUMBER(SEARCH(Predictor!$A$17:$A$35,C62))))/(1+Predictor!$B$8*SUMPRODUCT(--ISNUMBER(SEARCH(Predictor!$C$17:$C$21,C62)))))),0)</f>
        <v>240</v>
      </c>
      <c r="F62" s="2" t="str">
        <f aca="false">IF(E62&lt;=Predictor!$B$9,"interactive","batch")</f>
        <v>batch</v>
      </c>
      <c r="G62" s="6"/>
      <c r="H62" s="7" t="str">
        <f aca="false">IF(G62="","",ABS(E62-G62)/G62)</f>
        <v/>
      </c>
    </row>
    <row r="63" customFormat="false" ht="15" hidden="false" customHeight="false" outlineLevel="0" collapsed="false">
      <c r="A63" s="2" t="s">
        <v>132</v>
      </c>
      <c r="B63" s="8" t="s">
        <v>110</v>
      </c>
      <c r="C63" s="4" t="s">
        <v>133</v>
      </c>
      <c r="D63" s="5" t="n">
        <f aca="false">ROUNDUP(LEN(C63)/Predictor!$B$4,0)</f>
        <v>14</v>
      </c>
      <c r="E63" s="5" t="n">
        <f aca="false">ROUND(MAX(Predictor!$B$5,MIN(Predictor!$B$6,INDEX(Predictor!$B$12:$B$14,MATCH(B63,Predictor!$A$12:$A$14,0))*(1+Predictor!$B$7*SUMPRODUCT(--ISNUMBER(SEARCH(Predictor!$A$17:$A$35,C63))))/(1+Predictor!$B$8*SUMPRODUCT(--ISNUMBER(SEARCH(Predictor!$C$17:$C$21,C63)))))),0)</f>
        <v>280</v>
      </c>
      <c r="F63" s="2" t="str">
        <f aca="false">IF(E63&lt;=Predictor!$B$9,"interactive","batch")</f>
        <v>batch</v>
      </c>
      <c r="G63" s="6"/>
      <c r="H63" s="7" t="str">
        <f aca="false">IF(G63="","",ABS(E63-G63)/G63)</f>
        <v/>
      </c>
    </row>
    <row r="64" customFormat="false" ht="15" hidden="false" customHeight="false" outlineLevel="0" collapsed="false">
      <c r="A64" s="2" t="s">
        <v>134</v>
      </c>
      <c r="B64" s="8" t="s">
        <v>110</v>
      </c>
      <c r="C64" s="4" t="s">
        <v>135</v>
      </c>
      <c r="D64" s="5" t="n">
        <f aca="false">ROUNDUP(LEN(C64)/Predictor!$B$4,0)</f>
        <v>12</v>
      </c>
      <c r="E64" s="5" t="n">
        <f aca="false">ROUND(MAX(Predictor!$B$5,MIN(Predictor!$B$6,INDEX(Predictor!$B$12:$B$14,MATCH(B64,Predictor!$A$12:$A$14,0))*(1+Predictor!$B$7*SUMPRODUCT(--ISNUMBER(SEARCH(Predictor!$A$17:$A$35,C64))))/(1+Predictor!$B$8*SUMPRODUCT(--ISNUMBER(SEARCH(Predictor!$C$17:$C$21,C64)))))),0)</f>
        <v>240</v>
      </c>
      <c r="F64" s="2" t="str">
        <f aca="false">IF(E64&lt;=Predictor!$B$9,"interactive","batch")</f>
        <v>batch</v>
      </c>
      <c r="G64" s="6"/>
      <c r="H64" s="7" t="str">
        <f aca="false">IF(G64="","",ABS(E64-G64)/G64)</f>
        <v/>
      </c>
    </row>
    <row r="65" customFormat="false" ht="15" hidden="false" customHeight="false" outlineLevel="0" collapsed="false">
      <c r="A65" s="2" t="s">
        <v>136</v>
      </c>
      <c r="B65" s="8" t="s">
        <v>110</v>
      </c>
      <c r="C65" s="4" t="s">
        <v>137</v>
      </c>
      <c r="D65" s="5" t="n">
        <f aca="false">ROUNDUP(LEN(C65)/Predictor!$B$4,0)</f>
        <v>23</v>
      </c>
      <c r="E65" s="5" t="n">
        <f aca="false">ROUND(MAX(Predictor!$B$5,MIN(Predictor!$B$6,INDEX(Predictor!$B$12:$B$14,MATCH(B65,Predictor!$A$12:$A$14,0))*(1+Predictor!$B$7*SUMPRODUCT(--ISNUMBER(SEARCH(Predictor!$A$17:$A$35,C65))))/(1+Predictor!$B$8*SUMPRODUCT(--ISNUMBER(SEARCH(Predictor!$C$17:$C$21,C65)))))),0)</f>
        <v>280</v>
      </c>
      <c r="F65" s="2" t="str">
        <f aca="false">IF(E65&lt;=Predictor!$B$9,"interactive","batch")</f>
        <v>batch</v>
      </c>
      <c r="G65" s="6"/>
      <c r="H65" s="7" t="str">
        <f aca="false">IF(G65="","",ABS(E65-G65)/G65)</f>
        <v/>
      </c>
    </row>
    <row r="66" customFormat="false" ht="15" hidden="false" customHeight="false" outlineLevel="0" collapsed="false">
      <c r="A66" s="2" t="s">
        <v>138</v>
      </c>
      <c r="B66" s="8" t="s">
        <v>110</v>
      </c>
      <c r="C66" s="4" t="s">
        <v>139</v>
      </c>
      <c r="D66" s="5" t="n">
        <f aca="false">ROUNDUP(LEN(C66)/Predictor!$B$4,0)</f>
        <v>17</v>
      </c>
      <c r="E66" s="5" t="n">
        <f aca="false">ROUND(MAX(Predictor!$B$5,MIN(Predictor!$B$6,INDEX(Predictor!$B$12:$B$14,MATCH(B66,Predictor!$A$12:$A$14,0))*(1+Predictor!$B$7*SUMPRODUCT(--ISNUMBER(SEARCH(Predictor!$A$17:$A$35,C66))))/(1+Predictor!$B$8*SUMPRODUCT(--ISNUMBER(SEARCH(Predictor!$C$17:$C$21,C66)))))),0)</f>
        <v>240</v>
      </c>
      <c r="F66" s="2" t="str">
        <f aca="false">IF(E66&lt;=Predictor!$B$9,"interactive","batch")</f>
        <v>batch</v>
      </c>
      <c r="G66" s="6"/>
      <c r="H66" s="7" t="str">
        <f aca="false">IF(G66="","",ABS(E66-G66)/G66)</f>
        <v/>
      </c>
    </row>
    <row r="67" customFormat="false" ht="15" hidden="false" customHeight="false" outlineLevel="0" collapsed="false">
      <c r="A67" s="2" t="s">
        <v>140</v>
      </c>
      <c r="B67" s="8" t="s">
        <v>110</v>
      </c>
      <c r="C67" s="4" t="s">
        <v>141</v>
      </c>
      <c r="D67" s="5" t="n">
        <f aca="false">ROUNDUP(LEN(C67)/Predictor!$B$4,0)</f>
        <v>14</v>
      </c>
      <c r="E67" s="5" t="n">
        <f aca="false">ROUND(MAX(Predictor!$B$5,MIN(Predictor!$B$6,INDEX(Predictor!$B$12:$B$14,MATCH(B67,Predictor!$A$12:$A$14,0))*(1+Predictor!$B$7*SUMPRODUCT(--ISNUMBER(SEARCH(Predictor!$A$17:$A$35,C67))))/(1+Predictor!$B$8*SUMPRODUCT(--ISNUMBER(SEARCH(Predictor!$C$17:$C$21,C67)))))),0)</f>
        <v>240</v>
      </c>
      <c r="F67" s="2" t="str">
        <f aca="false">IF(E67&lt;=Predictor!$B$9,"interactive","batch")</f>
        <v>batch</v>
      </c>
      <c r="G67" s="6"/>
      <c r="H67" s="7" t="str">
        <f aca="false">IF(G67="","",ABS(E67-G67)/G67)</f>
        <v/>
      </c>
    </row>
    <row r="68" customFormat="false" ht="15" hidden="false" customHeight="false" outlineLevel="0" collapsed="false">
      <c r="A68" s="2" t="s">
        <v>142</v>
      </c>
      <c r="B68" s="8" t="s">
        <v>110</v>
      </c>
      <c r="C68" s="4" t="s">
        <v>143</v>
      </c>
      <c r="D68" s="5" t="n">
        <f aca="false">ROUNDUP(LEN(C68)/Predictor!$B$4,0)</f>
        <v>20</v>
      </c>
      <c r="E68" s="5" t="n">
        <f aca="false">ROUND(MAX(Predictor!$B$5,MIN(Predictor!$B$6,INDEX(Predictor!$B$12:$B$14,MATCH(B68,Predictor!$A$12:$A$14,0))*(1+Predictor!$B$7*SUMPRODUCT(--ISNUMBER(SEARCH(Predictor!$A$17:$A$35,C68))))/(1+Predictor!$B$8*SUMPRODUCT(--ISNUMBER(SEARCH(Predictor!$C$17:$C$21,C68)))))),0)</f>
        <v>187</v>
      </c>
      <c r="F68" s="2" t="str">
        <f aca="false">IF(E68&lt;=Predictor!$B$9,"interactive","batch")</f>
        <v>batch</v>
      </c>
      <c r="G68" s="6"/>
      <c r="H68" s="7" t="str">
        <f aca="false">IF(G68="","",ABS(E68-G68)/G68)</f>
        <v/>
      </c>
    </row>
    <row r="69" customFormat="false" ht="15" hidden="false" customHeight="false" outlineLevel="0" collapsed="false">
      <c r="A69" s="2" t="s">
        <v>144</v>
      </c>
      <c r="B69" s="8" t="s">
        <v>110</v>
      </c>
      <c r="C69" s="4" t="s">
        <v>145</v>
      </c>
      <c r="D69" s="5" t="n">
        <f aca="false">ROUNDUP(LEN(C69)/Predictor!$B$4,0)</f>
        <v>20</v>
      </c>
      <c r="E69" s="5" t="n">
        <f aca="false">ROUND(MAX(Predictor!$B$5,MIN(Predictor!$B$6,INDEX(Predictor!$B$12:$B$14,MATCH(B69,Predictor!$A$12:$A$14,0))*(1+Predictor!$B$7*SUMPRODUCT(--ISNUMBER(SEARCH(Predictor!$A$17:$A$35,C69))))/(1+Predictor!$B$8*SUMPRODUCT(--ISNUMBER(SEARCH(Predictor!$C$17:$C$21,C69)))))),0)</f>
        <v>240</v>
      </c>
      <c r="F69" s="2" t="str">
        <f aca="false">IF(E69&lt;=Predictor!$B$9,"interactive","batch")</f>
        <v>batch</v>
      </c>
      <c r="G69" s="6"/>
      <c r="H69" s="7" t="str">
        <f aca="false">IF(G69="","",ABS(E69-G69)/G69)</f>
        <v/>
      </c>
    </row>
    <row r="70" customFormat="false" ht="15" hidden="false" customHeight="false" outlineLevel="0" collapsed="false">
      <c r="A70" s="2" t="s">
        <v>146</v>
      </c>
      <c r="B70" s="8" t="s">
        <v>110</v>
      </c>
      <c r="C70" s="4" t="s">
        <v>147</v>
      </c>
      <c r="D70" s="5" t="n">
        <f aca="false">ROUNDUP(LEN(C70)/Predictor!$B$4,0)</f>
        <v>16</v>
      </c>
      <c r="E70" s="5" t="n">
        <f aca="false">ROUND(MAX(Predictor!$B$5,MIN(Predictor!$B$6,INDEX(Predictor!$B$12:$B$14,MATCH(B70,Predictor!$A$12:$A$14,0))*(1+Predictor!$B$7*SUMPRODUCT(--ISNUMBER(SEARCH(Predictor!$A$17:$A$35,C70))))/(1+Predictor!$B$8*SUMPRODUCT(--ISNUMBER(SEARCH(Predictor!$C$17:$C$21,C70)))))),0)</f>
        <v>280</v>
      </c>
      <c r="F70" s="2" t="str">
        <f aca="false">IF(E70&lt;=Predictor!$B$9,"interactive","batch")</f>
        <v>batch</v>
      </c>
      <c r="G70" s="6"/>
      <c r="H70" s="7" t="str">
        <f aca="false">IF(G70="","",ABS(E70-G70)/G70)</f>
        <v/>
      </c>
    </row>
    <row r="71" customFormat="false" ht="15" hidden="false" customHeight="false" outlineLevel="0" collapsed="false">
      <c r="A71" s="2" t="s">
        <v>148</v>
      </c>
      <c r="B71" s="8" t="s">
        <v>110</v>
      </c>
      <c r="C71" s="4" t="s">
        <v>149</v>
      </c>
      <c r="D71" s="5" t="n">
        <f aca="false">ROUNDUP(LEN(C71)/Predictor!$B$4,0)</f>
        <v>13</v>
      </c>
      <c r="E71" s="5" t="n">
        <f aca="false">ROUND(MAX(Predictor!$B$5,MIN(Predictor!$B$6,INDEX(Predictor!$B$12:$B$14,MATCH(B71,Predictor!$A$12:$A$14,0))*(1+Predictor!$B$7*SUMPRODUCT(--ISNUMBER(SEARCH(Predictor!$A$17:$A$35,C71))))/(1+Predictor!$B$8*SUMPRODUCT(--ISNUMBER(SEARCH(Predictor!$C$17:$C$21,C71)))))),0)</f>
        <v>240</v>
      </c>
      <c r="F71" s="2" t="str">
        <f aca="false">IF(E71&lt;=Predictor!$B$9,"interactive","batch")</f>
        <v>batch</v>
      </c>
      <c r="G71" s="6"/>
      <c r="H71" s="7" t="str">
        <f aca="false">IF(G71="","",ABS(E71-G71)/G71)</f>
        <v/>
      </c>
    </row>
    <row r="72" customFormat="false" ht="15" hidden="false" customHeight="false" outlineLevel="0" collapsed="false">
      <c r="A72" s="2" t="s">
        <v>150</v>
      </c>
      <c r="B72" s="8" t="s">
        <v>110</v>
      </c>
      <c r="C72" s="4" t="s">
        <v>151</v>
      </c>
      <c r="D72" s="5" t="n">
        <f aca="false">ROUNDUP(LEN(C72)/Predictor!$B$4,0)</f>
        <v>17</v>
      </c>
      <c r="E72" s="5" t="n">
        <f aca="false">ROUND(MAX(Predictor!$B$5,MIN(Predictor!$B$6,INDEX(Predictor!$B$12:$B$14,MATCH(B72,Predictor!$A$12:$A$14,0))*(1+Predictor!$B$7*SUMPRODUCT(--ISNUMBER(SEARCH(Predictor!$A$17:$A$35,C72))))/(1+Predictor!$B$8*SUMPRODUCT(--ISNUMBER(SEARCH(Predictor!$C$17:$C$21,C72)))))),0)</f>
        <v>240</v>
      </c>
      <c r="F72" s="2" t="str">
        <f aca="false">IF(E72&lt;=Predictor!$B$9,"interactive","batch")</f>
        <v>batch</v>
      </c>
      <c r="G72" s="6"/>
      <c r="H72" s="7" t="str">
        <f aca="false">IF(G72="","",ABS(E72-G72)/G72)</f>
        <v/>
      </c>
    </row>
    <row r="73" customFormat="false" ht="15" hidden="false" customHeight="false" outlineLevel="0" collapsed="false">
      <c r="A73" s="2" t="s">
        <v>152</v>
      </c>
      <c r="B73" s="8" t="s">
        <v>110</v>
      </c>
      <c r="C73" s="4" t="s">
        <v>153</v>
      </c>
      <c r="D73" s="5" t="n">
        <f aca="false">ROUNDUP(LEN(C73)/Predictor!$B$4,0)</f>
        <v>15</v>
      </c>
      <c r="E73" s="5" t="n">
        <f aca="false">ROUND(MAX(Predictor!$B$5,MIN(Predictor!$B$6,INDEX(Predictor!$B$12:$B$14,MATCH(B73,Predictor!$A$12:$A$14,0))*(1+Predictor!$B$7*SUMPRODUCT(--ISNUMBER(SEARCH(Predictor!$A$17:$A$35,C73))))/(1+Predictor!$B$8*SUMPRODUCT(--ISNUMBER(SEARCH(Predictor!$C$17:$C$21,C73)))))),0)</f>
        <v>280</v>
      </c>
      <c r="F73" s="2" t="str">
        <f aca="false">IF(E73&lt;=Predictor!$B$9,"interactive","batch")</f>
        <v>batch</v>
      </c>
      <c r="G73" s="6"/>
      <c r="H73" s="7" t="str">
        <f aca="false">IF(G73="","",ABS(E73-G73)/G73)</f>
        <v/>
      </c>
    </row>
    <row r="74" customFormat="false" ht="15" hidden="false" customHeight="false" outlineLevel="0" collapsed="false">
      <c r="A74" s="2" t="s">
        <v>154</v>
      </c>
      <c r="B74" s="8" t="s">
        <v>110</v>
      </c>
      <c r="C74" s="4" t="s">
        <v>155</v>
      </c>
      <c r="D74" s="5" t="n">
        <f aca="false">ROUNDUP(LEN(C74)/Predictor!$B$4,0)</f>
        <v>15</v>
      </c>
      <c r="E74" s="5" t="n">
        <f aca="false">ROUND(MAX(Predictor!$B$5,MIN(Predictor!$B$6,INDEX(Predictor!$B$12:$B$14,MATCH(B74,Predictor!$A$12:$A$14,0))*(1+Predictor!$B$7*SUMPRODUCT(--ISNUMBER(SEARCH(Predictor!$A$17:$A$35,C74))))/(1+Predictor!$B$8*SUMPRODUCT(--ISNUMBER(SEARCH(Predictor!$C$17:$C$21,C74)))))),0)</f>
        <v>240</v>
      </c>
      <c r="F74" s="2" t="str">
        <f aca="false">IF(E74&lt;=Predictor!$B$9,"interactive","batch")</f>
        <v>batch</v>
      </c>
      <c r="G74" s="6"/>
      <c r="H74" s="7" t="str">
        <f aca="false">IF(G74="","",ABS(E74-G74)/G74)</f>
        <v/>
      </c>
    </row>
    <row r="75" customFormat="false" ht="15" hidden="false" customHeight="false" outlineLevel="0" collapsed="false">
      <c r="A75" s="2" t="s">
        <v>156</v>
      </c>
      <c r="B75" s="8" t="s">
        <v>110</v>
      </c>
      <c r="C75" s="4" t="s">
        <v>157</v>
      </c>
      <c r="D75" s="5" t="n">
        <f aca="false">ROUNDUP(LEN(C75)/Predictor!$B$4,0)</f>
        <v>15</v>
      </c>
      <c r="E75" s="5" t="n">
        <f aca="false">ROUND(MAX(Predictor!$B$5,MIN(Predictor!$B$6,INDEX(Predictor!$B$12:$B$14,MATCH(B75,Predictor!$A$12:$A$14,0))*(1+Predictor!$B$7*SUMPRODUCT(--ISNUMBER(SEARCH(Predictor!$A$17:$A$35,C75))))/(1+Predictor!$B$8*SUMPRODUCT(--ISNUMBER(SEARCH(Predictor!$C$17:$C$21,C75)))))),0)</f>
        <v>280</v>
      </c>
      <c r="F75" s="2" t="str">
        <f aca="false">IF(E75&lt;=Predictor!$B$9,"interactive","batch")</f>
        <v>batch</v>
      </c>
      <c r="G75" s="6"/>
      <c r="H75" s="7" t="str">
        <f aca="false">IF(G75="","",ABS(E75-G75)/G75)</f>
        <v/>
      </c>
    </row>
    <row r="76" customFormat="false" ht="15" hidden="false" customHeight="false" outlineLevel="0" collapsed="false">
      <c r="A76" s="2" t="s">
        <v>158</v>
      </c>
      <c r="B76" s="8" t="s">
        <v>110</v>
      </c>
      <c r="C76" s="4" t="s">
        <v>159</v>
      </c>
      <c r="D76" s="5" t="n">
        <f aca="false">ROUNDUP(LEN(C76)/Predictor!$B$4,0)</f>
        <v>17</v>
      </c>
      <c r="E76" s="5" t="n">
        <f aca="false">ROUND(MAX(Predictor!$B$5,MIN(Predictor!$B$6,INDEX(Predictor!$B$12:$B$14,MATCH(B76,Predictor!$A$12:$A$14,0))*(1+Predictor!$B$7*SUMPRODUCT(--ISNUMBER(SEARCH(Predictor!$A$17:$A$35,C76))))/(1+Predictor!$B$8*SUMPRODUCT(--ISNUMBER(SEARCH(Predictor!$C$17:$C$21,C76)))))),0)</f>
        <v>240</v>
      </c>
      <c r="F76" s="2" t="str">
        <f aca="false">IF(E76&lt;=Predictor!$B$9,"interactive","batch")</f>
        <v>batch</v>
      </c>
      <c r="G76" s="6"/>
      <c r="H76" s="7" t="str">
        <f aca="false">IF(G76="","",ABS(E76-G76)/G76)</f>
        <v/>
      </c>
    </row>
    <row r="77" customFormat="false" ht="15" hidden="false" customHeight="false" outlineLevel="0" collapsed="false">
      <c r="A77" s="2" t="s">
        <v>160</v>
      </c>
      <c r="B77" s="8" t="s">
        <v>110</v>
      </c>
      <c r="C77" s="4" t="s">
        <v>161</v>
      </c>
      <c r="D77" s="5" t="n">
        <f aca="false">ROUNDUP(LEN(C77)/Predictor!$B$4,0)</f>
        <v>20</v>
      </c>
      <c r="E77" s="5" t="n">
        <f aca="false">ROUND(MAX(Predictor!$B$5,MIN(Predictor!$B$6,INDEX(Predictor!$B$12:$B$14,MATCH(B77,Predictor!$A$12:$A$14,0))*(1+Predictor!$B$7*SUMPRODUCT(--ISNUMBER(SEARCH(Predictor!$A$17:$A$35,C77))))/(1+Predictor!$B$8*SUMPRODUCT(--ISNUMBER(SEARCH(Predictor!$C$17:$C$21,C77)))))),0)</f>
        <v>280</v>
      </c>
      <c r="F77" s="2" t="str">
        <f aca="false">IF(E77&lt;=Predictor!$B$9,"interactive","batch")</f>
        <v>batch</v>
      </c>
      <c r="G77" s="6"/>
      <c r="H77" s="7" t="str">
        <f aca="false">IF(G77="","",ABS(E77-G77)/G77)</f>
        <v/>
      </c>
    </row>
    <row r="78" customFormat="false" ht="15" hidden="false" customHeight="false" outlineLevel="0" collapsed="false">
      <c r="A78" s="2" t="s">
        <v>162</v>
      </c>
      <c r="B78" s="8" t="s">
        <v>110</v>
      </c>
      <c r="C78" s="4" t="s">
        <v>163</v>
      </c>
      <c r="D78" s="5" t="n">
        <f aca="false">ROUNDUP(LEN(C78)/Predictor!$B$4,0)</f>
        <v>8</v>
      </c>
      <c r="E78" s="5" t="n">
        <f aca="false">ROUND(MAX(Predictor!$B$5,MIN(Predictor!$B$6,INDEX(Predictor!$B$12:$B$14,MATCH(B78,Predictor!$A$12:$A$14,0))*(1+Predictor!$B$7*SUMPRODUCT(--ISNUMBER(SEARCH(Predictor!$A$17:$A$35,C78))))/(1+Predictor!$B$8*SUMPRODUCT(--ISNUMBER(SEARCH(Predictor!$C$17:$C$21,C78)))))),0)</f>
        <v>240</v>
      </c>
      <c r="F78" s="2" t="str">
        <f aca="false">IF(E78&lt;=Predictor!$B$9,"interactive","batch")</f>
        <v>batch</v>
      </c>
      <c r="G78" s="6"/>
      <c r="H78" s="7" t="str">
        <f aca="false">IF(G78="","",ABS(E78-G78)/G78)</f>
        <v/>
      </c>
    </row>
    <row r="79" customFormat="false" ht="15" hidden="false" customHeight="false" outlineLevel="0" collapsed="false">
      <c r="A79" s="2" t="s">
        <v>164</v>
      </c>
      <c r="B79" s="8" t="s">
        <v>110</v>
      </c>
      <c r="C79" s="4" t="s">
        <v>165</v>
      </c>
      <c r="D79" s="5" t="n">
        <f aca="false">ROUNDUP(LEN(C79)/Predictor!$B$4,0)</f>
        <v>14</v>
      </c>
      <c r="E79" s="5" t="n">
        <f aca="false">ROUND(MAX(Predictor!$B$5,MIN(Predictor!$B$6,INDEX(Predictor!$B$12:$B$14,MATCH(B79,Predictor!$A$12:$A$14,0))*(1+Predictor!$B$7*SUMPRODUCT(--ISNUMBER(SEARCH(Predictor!$A$17:$A$35,C79))))/(1+Predictor!$B$8*SUMPRODUCT(--ISNUMBER(SEARCH(Predictor!$C$17:$C$21,C79)))))),0)</f>
        <v>200</v>
      </c>
      <c r="F79" s="2" t="str">
        <f aca="false">IF(E79&lt;=Predictor!$B$9,"interactive","batch")</f>
        <v>batch</v>
      </c>
      <c r="G79" s="6"/>
      <c r="H79" s="7" t="str">
        <f aca="false">IF(G79="","",ABS(E79-G79)/G79)</f>
        <v/>
      </c>
    </row>
    <row r="80" customFormat="false" ht="15" hidden="false" customHeight="false" outlineLevel="0" collapsed="false">
      <c r="A80" s="2" t="s">
        <v>166</v>
      </c>
      <c r="B80" s="8" t="s">
        <v>110</v>
      </c>
      <c r="C80" s="4" t="s">
        <v>167</v>
      </c>
      <c r="D80" s="5" t="n">
        <f aca="false">ROUNDUP(LEN(C80)/Predictor!$B$4,0)</f>
        <v>18</v>
      </c>
      <c r="E80" s="5" t="n">
        <f aca="false">ROUND(MAX(Predictor!$B$5,MIN(Predictor!$B$6,INDEX(Predictor!$B$12:$B$14,MATCH(B80,Predictor!$A$12:$A$14,0))*(1+Predictor!$B$7*SUMPRODUCT(--ISNUMBER(SEARCH(Predictor!$A$17:$A$35,C80))))/(1+Predictor!$B$8*SUMPRODUCT(--ISNUMBER(SEARCH(Predictor!$C$17:$C$21,C80)))))),0)</f>
        <v>240</v>
      </c>
      <c r="F80" s="2" t="str">
        <f aca="false">IF(E80&lt;=Predictor!$B$9,"interactive","batch")</f>
        <v>batch</v>
      </c>
      <c r="G80" s="6"/>
      <c r="H80" s="7" t="str">
        <f aca="false">IF(G80="","",ABS(E80-G80)/G80)</f>
        <v/>
      </c>
    </row>
    <row r="81" customFormat="false" ht="15" hidden="false" customHeight="false" outlineLevel="0" collapsed="false">
      <c r="A81" s="2" t="s">
        <v>168</v>
      </c>
      <c r="B81" s="8" t="s">
        <v>110</v>
      </c>
      <c r="C81" s="4" t="s">
        <v>169</v>
      </c>
      <c r="D81" s="5" t="n">
        <f aca="false">ROUNDUP(LEN(C81)/Predictor!$B$4,0)</f>
        <v>20</v>
      </c>
      <c r="E81" s="5" t="n">
        <f aca="false">ROUND(MAX(Predictor!$B$5,MIN(Predictor!$B$6,INDEX(Predictor!$B$12:$B$14,MATCH(B81,Predictor!$A$12:$A$14,0))*(1+Predictor!$B$7*SUMPRODUCT(--ISNUMBER(SEARCH(Predictor!$A$17:$A$35,C81))))/(1+Predictor!$B$8*SUMPRODUCT(--ISNUMBER(SEARCH(Predictor!$C$17:$C$21,C81)))))),0)</f>
        <v>240</v>
      </c>
      <c r="F81" s="2" t="str">
        <f aca="false">IF(E81&lt;=Predictor!$B$9,"interactive","batch")</f>
        <v>batch</v>
      </c>
      <c r="G81" s="6"/>
      <c r="H81" s="7" t="str">
        <f aca="false">IF(G81="","",ABS(E81-G81)/G81)</f>
        <v/>
      </c>
    </row>
    <row r="82" customFormat="false" ht="15" hidden="false" customHeight="false" outlineLevel="0" collapsed="false">
      <c r="A82" s="2" t="s">
        <v>170</v>
      </c>
      <c r="B82" s="8" t="s">
        <v>110</v>
      </c>
      <c r="C82" s="4" t="s">
        <v>171</v>
      </c>
      <c r="D82" s="5" t="n">
        <f aca="false">ROUNDUP(LEN(C82)/Predictor!$B$4,0)</f>
        <v>19</v>
      </c>
      <c r="E82" s="5" t="n">
        <f aca="false">ROUND(MAX(Predictor!$B$5,MIN(Predictor!$B$6,INDEX(Predictor!$B$12:$B$14,MATCH(B82,Predictor!$A$12:$A$14,0))*(1+Predictor!$B$7*SUMPRODUCT(--ISNUMBER(SEARCH(Predictor!$A$17:$A$35,C82))))/(1+Predictor!$B$8*SUMPRODUCT(--ISNUMBER(SEARCH(Predictor!$C$17:$C$21,C82)))))),0)</f>
        <v>280</v>
      </c>
      <c r="F82" s="2" t="str">
        <f aca="false">IF(E82&lt;=Predictor!$B$9,"interactive","batch")</f>
        <v>batch</v>
      </c>
      <c r="G82" s="6"/>
      <c r="H82" s="7" t="str">
        <f aca="false">IF(G82="","",ABS(E82-G82)/G82)</f>
        <v/>
      </c>
    </row>
    <row r="83" customFormat="false" ht="15" hidden="false" customHeight="false" outlineLevel="0" collapsed="false">
      <c r="A83" s="2" t="s">
        <v>172</v>
      </c>
      <c r="B83" s="8" t="s">
        <v>110</v>
      </c>
      <c r="C83" s="4" t="s">
        <v>173</v>
      </c>
      <c r="D83" s="5" t="n">
        <f aca="false">ROUNDUP(LEN(C83)/Predictor!$B$4,0)</f>
        <v>16</v>
      </c>
      <c r="E83" s="5" t="n">
        <f aca="false">ROUND(MAX(Predictor!$B$5,MIN(Predictor!$B$6,INDEX(Predictor!$B$12:$B$14,MATCH(B83,Predictor!$A$12:$A$14,0))*(1+Predictor!$B$7*SUMPRODUCT(--ISNUMBER(SEARCH(Predictor!$A$17:$A$35,C83))))/(1+Predictor!$B$8*SUMPRODUCT(--ISNUMBER(SEARCH(Predictor!$C$17:$C$21,C83)))))),0)</f>
        <v>240</v>
      </c>
      <c r="F83" s="2" t="str">
        <f aca="false">IF(E83&lt;=Predictor!$B$9,"interactive","batch")</f>
        <v>batch</v>
      </c>
      <c r="G83" s="6"/>
      <c r="H83" s="7" t="str">
        <f aca="false">IF(G83="","",ABS(E83-G83)/G83)</f>
        <v/>
      </c>
    </row>
    <row r="84" customFormat="false" ht="15" hidden="false" customHeight="false" outlineLevel="0" collapsed="false">
      <c r="A84" s="2" t="s">
        <v>174</v>
      </c>
      <c r="B84" s="8" t="s">
        <v>110</v>
      </c>
      <c r="C84" s="4" t="s">
        <v>175</v>
      </c>
      <c r="D84" s="5" t="n">
        <f aca="false">ROUNDUP(LEN(C84)/Predictor!$B$4,0)</f>
        <v>16</v>
      </c>
      <c r="E84" s="5" t="n">
        <f aca="false">ROUND(MAX(Predictor!$B$5,MIN(Predictor!$B$6,INDEX(Predictor!$B$12:$B$14,MATCH(B84,Predictor!$A$12:$A$14,0))*(1+Predictor!$B$7*SUMPRODUCT(--ISNUMBER(SEARCH(Predictor!$A$17:$A$35,C84))))/(1+Predictor!$B$8*SUMPRODUCT(--ISNUMBER(SEARCH(Predictor!$C$17:$C$21,C84)))))),0)</f>
        <v>240</v>
      </c>
      <c r="F84" s="2" t="str">
        <f aca="false">IF(E84&lt;=Predictor!$B$9,"interactive","batch")</f>
        <v>batch</v>
      </c>
      <c r="G84" s="6"/>
      <c r="H84" s="7" t="str">
        <f aca="false">IF(G84="","",ABS(E84-G84)/G84)</f>
        <v/>
      </c>
    </row>
    <row r="85" customFormat="false" ht="15" hidden="false" customHeight="false" outlineLevel="0" collapsed="false">
      <c r="A85" s="2" t="s">
        <v>176</v>
      </c>
      <c r="B85" s="8" t="s">
        <v>110</v>
      </c>
      <c r="C85" s="4" t="s">
        <v>177</v>
      </c>
      <c r="D85" s="5" t="n">
        <f aca="false">ROUNDUP(LEN(C85)/Predictor!$B$4,0)</f>
        <v>15</v>
      </c>
      <c r="E85" s="5" t="n">
        <f aca="false">ROUND(MAX(Predictor!$B$5,MIN(Predictor!$B$6,INDEX(Predictor!$B$12:$B$14,MATCH(B85,Predictor!$A$12:$A$14,0))*(1+Predictor!$B$7*SUMPRODUCT(--ISNUMBER(SEARCH(Predictor!$A$17:$A$35,C85))))/(1+Predictor!$B$8*SUMPRODUCT(--ISNUMBER(SEARCH(Predictor!$C$17:$C$21,C85)))))),0)</f>
        <v>240</v>
      </c>
      <c r="F85" s="2" t="str">
        <f aca="false">IF(E85&lt;=Predictor!$B$9,"interactive","batch")</f>
        <v>batch</v>
      </c>
      <c r="G85" s="6"/>
      <c r="H85" s="7" t="str">
        <f aca="false">IF(G85="","",ABS(E85-G85)/G85)</f>
        <v/>
      </c>
    </row>
    <row r="86" customFormat="false" ht="15" hidden="false" customHeight="false" outlineLevel="0" collapsed="false">
      <c r="A86" s="2" t="s">
        <v>178</v>
      </c>
      <c r="B86" s="8" t="s">
        <v>110</v>
      </c>
      <c r="C86" s="4" t="s">
        <v>179</v>
      </c>
      <c r="D86" s="5" t="n">
        <f aca="false">ROUNDUP(LEN(C86)/Predictor!$B$4,0)</f>
        <v>13</v>
      </c>
      <c r="E86" s="5" t="n">
        <f aca="false">ROUND(MAX(Predictor!$B$5,MIN(Predictor!$B$6,INDEX(Predictor!$B$12:$B$14,MATCH(B86,Predictor!$A$12:$A$14,0))*(1+Predictor!$B$7*SUMPRODUCT(--ISNUMBER(SEARCH(Predictor!$A$17:$A$35,C86))))/(1+Predictor!$B$8*SUMPRODUCT(--ISNUMBER(SEARCH(Predictor!$C$17:$C$21,C86)))))),0)</f>
        <v>280</v>
      </c>
      <c r="F86" s="2" t="str">
        <f aca="false">IF(E86&lt;=Predictor!$B$9,"interactive","batch")</f>
        <v>batch</v>
      </c>
      <c r="G86" s="6"/>
      <c r="H86" s="7" t="str">
        <f aca="false">IF(G86="","",ABS(E86-G86)/G86)</f>
        <v/>
      </c>
    </row>
    <row r="87" customFormat="false" ht="15" hidden="false" customHeight="false" outlineLevel="0" collapsed="false">
      <c r="A87" s="2" t="s">
        <v>180</v>
      </c>
      <c r="B87" s="8" t="s">
        <v>110</v>
      </c>
      <c r="C87" s="4" t="s">
        <v>181</v>
      </c>
      <c r="D87" s="5" t="n">
        <f aca="false">ROUNDUP(LEN(C87)/Predictor!$B$4,0)</f>
        <v>18</v>
      </c>
      <c r="E87" s="5" t="n">
        <f aca="false">ROUND(MAX(Predictor!$B$5,MIN(Predictor!$B$6,INDEX(Predictor!$B$12:$B$14,MATCH(B87,Predictor!$A$12:$A$14,0))*(1+Predictor!$B$7*SUMPRODUCT(--ISNUMBER(SEARCH(Predictor!$A$17:$A$35,C87))))/(1+Predictor!$B$8*SUMPRODUCT(--ISNUMBER(SEARCH(Predictor!$C$17:$C$21,C87)))))),0)</f>
        <v>240</v>
      </c>
      <c r="F87" s="2" t="str">
        <f aca="false">IF(E87&lt;=Predictor!$B$9,"interactive","batch")</f>
        <v>batch</v>
      </c>
      <c r="G87" s="6"/>
      <c r="H87" s="7" t="str">
        <f aca="false">IF(G87="","",ABS(E87-G87)/G87)</f>
        <v/>
      </c>
    </row>
    <row r="88" customFormat="false" ht="15" hidden="false" customHeight="false" outlineLevel="0" collapsed="false">
      <c r="A88" s="2" t="s">
        <v>182</v>
      </c>
      <c r="B88" s="8" t="s">
        <v>110</v>
      </c>
      <c r="C88" s="4" t="s">
        <v>183</v>
      </c>
      <c r="D88" s="5" t="n">
        <f aca="false">ROUNDUP(LEN(C88)/Predictor!$B$4,0)</f>
        <v>16</v>
      </c>
      <c r="E88" s="5" t="n">
        <f aca="false">ROUND(MAX(Predictor!$B$5,MIN(Predictor!$B$6,INDEX(Predictor!$B$12:$B$14,MATCH(B88,Predictor!$A$12:$A$14,0))*(1+Predictor!$B$7*SUMPRODUCT(--ISNUMBER(SEARCH(Predictor!$A$17:$A$35,C88))))/(1+Predictor!$B$8*SUMPRODUCT(--ISNUMBER(SEARCH(Predictor!$C$17:$C$21,C88)))))),0)</f>
        <v>240</v>
      </c>
      <c r="F88" s="2" t="str">
        <f aca="false">IF(E88&lt;=Predictor!$B$9,"interactive","batch")</f>
        <v>batch</v>
      </c>
      <c r="G88" s="6"/>
      <c r="H88" s="7" t="str">
        <f aca="false">IF(G88="","",ABS(E88-G88)/G88)</f>
        <v/>
      </c>
    </row>
    <row r="89" customFormat="false" ht="15" hidden="false" customHeight="false" outlineLevel="0" collapsed="false">
      <c r="A89" s="2" t="s">
        <v>184</v>
      </c>
      <c r="B89" s="8" t="s">
        <v>110</v>
      </c>
      <c r="C89" s="4" t="s">
        <v>185</v>
      </c>
      <c r="D89" s="5" t="n">
        <f aca="false">ROUNDUP(LEN(C89)/Predictor!$B$4,0)</f>
        <v>21</v>
      </c>
      <c r="E89" s="5" t="n">
        <f aca="false">ROUND(MAX(Predictor!$B$5,MIN(Predictor!$B$6,INDEX(Predictor!$B$12:$B$14,MATCH(B89,Predictor!$A$12:$A$14,0))*(1+Predictor!$B$7*SUMPRODUCT(--ISNUMBER(SEARCH(Predictor!$A$17:$A$35,C89))))/(1+Predictor!$B$8*SUMPRODUCT(--ISNUMBER(SEARCH(Predictor!$C$17:$C$21,C89)))))),0)</f>
        <v>240</v>
      </c>
      <c r="F89" s="2" t="str">
        <f aca="false">IF(E89&lt;=Predictor!$B$9,"interactive","batch")</f>
        <v>batch</v>
      </c>
      <c r="G89" s="6"/>
      <c r="H89" s="7" t="str">
        <f aca="false">IF(G89="","",ABS(E89-G89)/G89)</f>
        <v/>
      </c>
    </row>
    <row r="90" customFormat="false" ht="15" hidden="false" customHeight="false" outlineLevel="0" collapsed="false">
      <c r="A90" s="2" t="s">
        <v>186</v>
      </c>
      <c r="B90" s="8" t="s">
        <v>110</v>
      </c>
      <c r="C90" s="4" t="s">
        <v>187</v>
      </c>
      <c r="D90" s="5" t="n">
        <f aca="false">ROUNDUP(LEN(C90)/Predictor!$B$4,0)</f>
        <v>14</v>
      </c>
      <c r="E90" s="5" t="n">
        <f aca="false">ROUND(MAX(Predictor!$B$5,MIN(Predictor!$B$6,INDEX(Predictor!$B$12:$B$14,MATCH(B90,Predictor!$A$12:$A$14,0))*(1+Predictor!$B$7*SUMPRODUCT(--ISNUMBER(SEARCH(Predictor!$A$17:$A$35,C90))))/(1+Predictor!$B$8*SUMPRODUCT(--ISNUMBER(SEARCH(Predictor!$C$17:$C$21,C90)))))),0)</f>
        <v>240</v>
      </c>
      <c r="F90" s="2" t="str">
        <f aca="false">IF(E90&lt;=Predictor!$B$9,"interactive","batch")</f>
        <v>batch</v>
      </c>
      <c r="G90" s="6"/>
      <c r="H90" s="7" t="str">
        <f aca="false">IF(G90="","",ABS(E90-G90)/G90)</f>
        <v/>
      </c>
    </row>
    <row r="91" customFormat="false" ht="15" hidden="false" customHeight="false" outlineLevel="0" collapsed="false">
      <c r="A91" s="2" t="s">
        <v>188</v>
      </c>
      <c r="B91" s="8" t="s">
        <v>110</v>
      </c>
      <c r="C91" s="4" t="s">
        <v>189</v>
      </c>
      <c r="D91" s="5" t="n">
        <f aca="false">ROUNDUP(LEN(C91)/Predictor!$B$4,0)</f>
        <v>16</v>
      </c>
      <c r="E91" s="5" t="n">
        <f aca="false">ROUND(MAX(Predictor!$B$5,MIN(Predictor!$B$6,INDEX(Predictor!$B$12:$B$14,MATCH(B91,Predictor!$A$12:$A$14,0))*(1+Predictor!$B$7*SUMPRODUCT(--ISNUMBER(SEARCH(Predictor!$A$17:$A$35,C91))))/(1+Predictor!$B$8*SUMPRODUCT(--ISNUMBER(SEARCH(Predictor!$C$17:$C$21,C91)))))),0)</f>
        <v>240</v>
      </c>
      <c r="F91" s="2" t="str">
        <f aca="false">IF(E91&lt;=Predictor!$B$9,"interactive","batch")</f>
        <v>batch</v>
      </c>
      <c r="G91" s="6"/>
      <c r="H91" s="7" t="str">
        <f aca="false">IF(G91="","",ABS(E91-G91)/G91)</f>
        <v/>
      </c>
    </row>
    <row r="92" customFormat="false" ht="15" hidden="false" customHeight="false" outlineLevel="0" collapsed="false">
      <c r="A92" s="2" t="s">
        <v>190</v>
      </c>
      <c r="B92" s="8" t="s">
        <v>110</v>
      </c>
      <c r="C92" s="4" t="s">
        <v>191</v>
      </c>
      <c r="D92" s="5" t="n">
        <f aca="false">ROUNDUP(LEN(C92)/Predictor!$B$4,0)</f>
        <v>12</v>
      </c>
      <c r="E92" s="5" t="n">
        <f aca="false">ROUND(MAX(Predictor!$B$5,MIN(Predictor!$B$6,INDEX(Predictor!$B$12:$B$14,MATCH(B92,Predictor!$A$12:$A$14,0))*(1+Predictor!$B$7*SUMPRODUCT(--ISNUMBER(SEARCH(Predictor!$A$17:$A$35,C92))))/(1+Predictor!$B$8*SUMPRODUCT(--ISNUMBER(SEARCH(Predictor!$C$17:$C$21,C92)))))),0)</f>
        <v>240</v>
      </c>
      <c r="F92" s="2" t="str">
        <f aca="false">IF(E92&lt;=Predictor!$B$9,"interactive","batch")</f>
        <v>batch</v>
      </c>
      <c r="G92" s="6"/>
      <c r="H92" s="7" t="str">
        <f aca="false">IF(G92="","",ABS(E92-G92)/G92)</f>
        <v/>
      </c>
    </row>
    <row r="93" customFormat="false" ht="15" hidden="false" customHeight="false" outlineLevel="0" collapsed="false">
      <c r="A93" s="2" t="s">
        <v>192</v>
      </c>
      <c r="B93" s="8" t="s">
        <v>110</v>
      </c>
      <c r="C93" s="4" t="s">
        <v>193</v>
      </c>
      <c r="D93" s="5" t="n">
        <f aca="false">ROUNDUP(LEN(C93)/Predictor!$B$4,0)</f>
        <v>17</v>
      </c>
      <c r="E93" s="5" t="n">
        <f aca="false">ROUND(MAX(Predictor!$B$5,MIN(Predictor!$B$6,INDEX(Predictor!$B$12:$B$14,MATCH(B93,Predictor!$A$12:$A$14,0))*(1+Predictor!$B$7*SUMPRODUCT(--ISNUMBER(SEARCH(Predictor!$A$17:$A$35,C93))))/(1+Predictor!$B$8*SUMPRODUCT(--ISNUMBER(SEARCH(Predictor!$C$17:$C$21,C93)))))),0)</f>
        <v>280</v>
      </c>
      <c r="F93" s="2" t="str">
        <f aca="false">IF(E93&lt;=Predictor!$B$9,"interactive","batch")</f>
        <v>batch</v>
      </c>
      <c r="G93" s="6"/>
      <c r="H93" s="7" t="str">
        <f aca="false">IF(G93="","",ABS(E93-G93)/G93)</f>
        <v/>
      </c>
    </row>
    <row r="94" customFormat="false" ht="15" hidden="false" customHeight="false" outlineLevel="0" collapsed="false">
      <c r="A94" s="2" t="s">
        <v>194</v>
      </c>
      <c r="B94" s="8" t="s">
        <v>110</v>
      </c>
      <c r="C94" s="4" t="s">
        <v>195</v>
      </c>
      <c r="D94" s="5" t="n">
        <f aca="false">ROUNDUP(LEN(C94)/Predictor!$B$4,0)</f>
        <v>18</v>
      </c>
      <c r="E94" s="5" t="n">
        <f aca="false">ROUND(MAX(Predictor!$B$5,MIN(Predictor!$B$6,INDEX(Predictor!$B$12:$B$14,MATCH(B94,Predictor!$A$12:$A$14,0))*(1+Predictor!$B$7*SUMPRODUCT(--ISNUMBER(SEARCH(Predictor!$A$17:$A$35,C94))))/(1+Predictor!$B$8*SUMPRODUCT(--ISNUMBER(SEARCH(Predictor!$C$17:$C$21,C94)))))),0)</f>
        <v>200</v>
      </c>
      <c r="F94" s="2" t="str">
        <f aca="false">IF(E94&lt;=Predictor!$B$9,"interactive","batch")</f>
        <v>batch</v>
      </c>
      <c r="G94" s="6"/>
      <c r="H94" s="7" t="str">
        <f aca="false">IF(G94="","",ABS(E94-G94)/G94)</f>
        <v/>
      </c>
    </row>
    <row r="95" customFormat="false" ht="15" hidden="false" customHeight="false" outlineLevel="0" collapsed="false">
      <c r="A95" s="2" t="s">
        <v>196</v>
      </c>
      <c r="B95" s="8" t="s">
        <v>110</v>
      </c>
      <c r="C95" s="4" t="s">
        <v>197</v>
      </c>
      <c r="D95" s="5" t="n">
        <f aca="false">ROUNDUP(LEN(C95)/Predictor!$B$4,0)</f>
        <v>18</v>
      </c>
      <c r="E95" s="5" t="n">
        <f aca="false">ROUND(MAX(Predictor!$B$5,MIN(Predictor!$B$6,INDEX(Predictor!$B$12:$B$14,MATCH(B95,Predictor!$A$12:$A$14,0))*(1+Predictor!$B$7*SUMPRODUCT(--ISNUMBER(SEARCH(Predictor!$A$17:$A$35,C95))))/(1+Predictor!$B$8*SUMPRODUCT(--ISNUMBER(SEARCH(Predictor!$C$17:$C$21,C95)))))),0)</f>
        <v>280</v>
      </c>
      <c r="F95" s="2" t="str">
        <f aca="false">IF(E95&lt;=Predictor!$B$9,"interactive","batch")</f>
        <v>batch</v>
      </c>
      <c r="G95" s="6"/>
      <c r="H95" s="7" t="str">
        <f aca="false">IF(G95="","",ABS(E95-G95)/G95)</f>
        <v/>
      </c>
    </row>
    <row r="96" customFormat="false" ht="15" hidden="false" customHeight="false" outlineLevel="0" collapsed="false">
      <c r="A96" s="2" t="s">
        <v>198</v>
      </c>
      <c r="B96" s="8" t="s">
        <v>110</v>
      </c>
      <c r="C96" s="4" t="s">
        <v>199</v>
      </c>
      <c r="D96" s="5" t="n">
        <f aca="false">ROUNDUP(LEN(C96)/Predictor!$B$4,0)</f>
        <v>15</v>
      </c>
      <c r="E96" s="5" t="n">
        <f aca="false">ROUND(MAX(Predictor!$B$5,MIN(Predictor!$B$6,INDEX(Predictor!$B$12:$B$14,MATCH(B96,Predictor!$A$12:$A$14,0))*(1+Predictor!$B$7*SUMPRODUCT(--ISNUMBER(SEARCH(Predictor!$A$17:$A$35,C96))))/(1+Predictor!$B$8*SUMPRODUCT(--ISNUMBER(SEARCH(Predictor!$C$17:$C$21,C96)))))),0)</f>
        <v>240</v>
      </c>
      <c r="F96" s="2" t="str">
        <f aca="false">IF(E96&lt;=Predictor!$B$9,"interactive","batch")</f>
        <v>batch</v>
      </c>
      <c r="G96" s="6"/>
      <c r="H96" s="7" t="str">
        <f aca="false">IF(G96="","",ABS(E96-G96)/G96)</f>
        <v/>
      </c>
    </row>
    <row r="97" customFormat="false" ht="15" hidden="false" customHeight="false" outlineLevel="0" collapsed="false">
      <c r="A97" s="2" t="s">
        <v>200</v>
      </c>
      <c r="B97" s="8" t="s">
        <v>110</v>
      </c>
      <c r="C97" s="4" t="s">
        <v>201</v>
      </c>
      <c r="D97" s="5" t="n">
        <f aca="false">ROUNDUP(LEN(C97)/Predictor!$B$4,0)</f>
        <v>20</v>
      </c>
      <c r="E97" s="5" t="n">
        <f aca="false">ROUND(MAX(Predictor!$B$5,MIN(Predictor!$B$6,INDEX(Predictor!$B$12:$B$14,MATCH(B97,Predictor!$A$12:$A$14,0))*(1+Predictor!$B$7*SUMPRODUCT(--ISNUMBER(SEARCH(Predictor!$A$17:$A$35,C97))))/(1+Predictor!$B$8*SUMPRODUCT(--ISNUMBER(SEARCH(Predictor!$C$17:$C$21,C97)))))),0)</f>
        <v>280</v>
      </c>
      <c r="F97" s="2" t="str">
        <f aca="false">IF(E97&lt;=Predictor!$B$9,"interactive","batch")</f>
        <v>batch</v>
      </c>
      <c r="G97" s="6"/>
      <c r="H97" s="7" t="str">
        <f aca="false">IF(G97="","",ABS(E97-G97)/G97)</f>
        <v/>
      </c>
    </row>
    <row r="98" customFormat="false" ht="15" hidden="false" customHeight="false" outlineLevel="0" collapsed="false">
      <c r="A98" s="2" t="s">
        <v>202</v>
      </c>
      <c r="B98" s="8" t="s">
        <v>110</v>
      </c>
      <c r="C98" s="4" t="s">
        <v>203</v>
      </c>
      <c r="D98" s="5" t="n">
        <f aca="false">ROUNDUP(LEN(C98)/Predictor!$B$4,0)</f>
        <v>16</v>
      </c>
      <c r="E98" s="5" t="n">
        <f aca="false">ROUND(MAX(Predictor!$B$5,MIN(Predictor!$B$6,INDEX(Predictor!$B$12:$B$14,MATCH(B98,Predictor!$A$12:$A$14,0))*(1+Predictor!$B$7*SUMPRODUCT(--ISNUMBER(SEARCH(Predictor!$A$17:$A$35,C98))))/(1+Predictor!$B$8*SUMPRODUCT(--ISNUMBER(SEARCH(Predictor!$C$17:$C$21,C98)))))),0)</f>
        <v>240</v>
      </c>
      <c r="F98" s="2" t="str">
        <f aca="false">IF(E98&lt;=Predictor!$B$9,"interactive","batch")</f>
        <v>batch</v>
      </c>
      <c r="G98" s="6"/>
      <c r="H98" s="7" t="str">
        <f aca="false">IF(G98="","",ABS(E98-G98)/G98)</f>
        <v/>
      </c>
    </row>
    <row r="99" customFormat="false" ht="15" hidden="false" customHeight="false" outlineLevel="0" collapsed="false">
      <c r="A99" s="2" t="s">
        <v>204</v>
      </c>
      <c r="B99" s="8" t="s">
        <v>110</v>
      </c>
      <c r="C99" s="4" t="s">
        <v>205</v>
      </c>
      <c r="D99" s="5" t="n">
        <f aca="false">ROUNDUP(LEN(C99)/Predictor!$B$4,0)</f>
        <v>15</v>
      </c>
      <c r="E99" s="5" t="n">
        <f aca="false">ROUND(MAX(Predictor!$B$5,MIN(Predictor!$B$6,INDEX(Predictor!$B$12:$B$14,MATCH(B99,Predictor!$A$12:$A$14,0))*(1+Predictor!$B$7*SUMPRODUCT(--ISNUMBER(SEARCH(Predictor!$A$17:$A$35,C99))))/(1+Predictor!$B$8*SUMPRODUCT(--ISNUMBER(SEARCH(Predictor!$C$17:$C$21,C99)))))),0)</f>
        <v>240</v>
      </c>
      <c r="F99" s="2" t="str">
        <f aca="false">IF(E99&lt;=Predictor!$B$9,"interactive","batch")</f>
        <v>batch</v>
      </c>
      <c r="G99" s="6"/>
      <c r="H99" s="7" t="str">
        <f aca="false">IF(G99="","",ABS(E99-G99)/G99)</f>
        <v/>
      </c>
    </row>
    <row r="100" customFormat="false" ht="15" hidden="false" customHeight="false" outlineLevel="0" collapsed="false">
      <c r="A100" s="2" t="s">
        <v>206</v>
      </c>
      <c r="B100" s="8" t="s">
        <v>110</v>
      </c>
      <c r="C100" s="4" t="s">
        <v>207</v>
      </c>
      <c r="D100" s="5" t="n">
        <f aca="false">ROUNDUP(LEN(C100)/Predictor!$B$4,0)</f>
        <v>14</v>
      </c>
      <c r="E100" s="5" t="n">
        <f aca="false">ROUND(MAX(Predictor!$B$5,MIN(Predictor!$B$6,INDEX(Predictor!$B$12:$B$14,MATCH(B100,Predictor!$A$12:$A$14,0))*(1+Predictor!$B$7*SUMPRODUCT(--ISNUMBER(SEARCH(Predictor!$A$17:$A$35,C100))))/(1+Predictor!$B$8*SUMPRODUCT(--ISNUMBER(SEARCH(Predictor!$C$17:$C$21,C100)))))),0)</f>
        <v>240</v>
      </c>
      <c r="F100" s="2" t="str">
        <f aca="false">IF(E100&lt;=Predictor!$B$9,"interactive","batch")</f>
        <v>batch</v>
      </c>
      <c r="G100" s="6"/>
      <c r="H100" s="7" t="str">
        <f aca="false">IF(G100="","",ABS(E100-G100)/G100)</f>
        <v/>
      </c>
    </row>
    <row r="101" customFormat="false" ht="15" hidden="false" customHeight="false" outlineLevel="0" collapsed="false">
      <c r="A101" s="2" t="s">
        <v>208</v>
      </c>
      <c r="B101" s="8" t="s">
        <v>110</v>
      </c>
      <c r="C101" s="4" t="s">
        <v>209</v>
      </c>
      <c r="D101" s="5" t="n">
        <f aca="false">ROUNDUP(LEN(C101)/Predictor!$B$4,0)</f>
        <v>17</v>
      </c>
      <c r="E101" s="5" t="n">
        <f aca="false">ROUND(MAX(Predictor!$B$5,MIN(Predictor!$B$6,INDEX(Predictor!$B$12:$B$14,MATCH(B101,Predictor!$A$12:$A$14,0))*(1+Predictor!$B$7*SUMPRODUCT(--ISNUMBER(SEARCH(Predictor!$A$17:$A$35,C101))))/(1+Predictor!$B$8*SUMPRODUCT(--ISNUMBER(SEARCH(Predictor!$C$17:$C$21,C101)))))),0)</f>
        <v>240</v>
      </c>
      <c r="F101" s="2" t="str">
        <f aca="false">IF(E101&lt;=Predictor!$B$9,"interactive","batch")</f>
        <v>batch</v>
      </c>
      <c r="G101" s="6"/>
      <c r="H101" s="7" t="str">
        <f aca="false">IF(G101="","",ABS(E101-G101)/G101)</f>
        <v/>
      </c>
    </row>
    <row r="102" customFormat="false" ht="23.85" hidden="false" customHeight="false" outlineLevel="0" collapsed="false">
      <c r="A102" s="2" t="s">
        <v>210</v>
      </c>
      <c r="B102" s="9" t="s">
        <v>211</v>
      </c>
      <c r="C102" s="4" t="s">
        <v>212</v>
      </c>
      <c r="D102" s="5" t="n">
        <f aca="false">ROUNDUP(LEN(C102)/Predictor!$B$4,0)</f>
        <v>38</v>
      </c>
      <c r="E102" s="5" t="n">
        <f aca="false">ROUND(MAX(Predictor!$B$5,MIN(Predictor!$B$6,INDEX(Predictor!$B$12:$B$14,MATCH(B102,Predictor!$A$12:$A$14,0))*(1+Predictor!$B$7*SUMPRODUCT(--ISNUMBER(SEARCH(Predictor!$A$17:$A$35,C102))))/(1+Predictor!$B$8*SUMPRODUCT(--ISNUMBER(SEARCH(Predictor!$C$17:$C$21,C102)))))),0)</f>
        <v>1260</v>
      </c>
      <c r="F102" s="2" t="str">
        <f aca="false">IF(E102&lt;=Predictor!$B$9,"interactive","batch")</f>
        <v>batch</v>
      </c>
      <c r="G102" s="6"/>
      <c r="H102" s="7" t="str">
        <f aca="false">IF(G102="","",ABS(E102-G102)/G102)</f>
        <v/>
      </c>
    </row>
    <row r="103" customFormat="false" ht="23.85" hidden="false" customHeight="false" outlineLevel="0" collapsed="false">
      <c r="A103" s="2" t="s">
        <v>213</v>
      </c>
      <c r="B103" s="9" t="s">
        <v>211</v>
      </c>
      <c r="C103" s="4" t="s">
        <v>214</v>
      </c>
      <c r="D103" s="5" t="n">
        <f aca="false">ROUNDUP(LEN(C103)/Predictor!$B$4,0)</f>
        <v>31</v>
      </c>
      <c r="E103" s="5" t="n">
        <f aca="false">ROUND(MAX(Predictor!$B$5,MIN(Predictor!$B$6,INDEX(Predictor!$B$12:$B$14,MATCH(B103,Predictor!$A$12:$A$14,0))*(1+Predictor!$B$7*SUMPRODUCT(--ISNUMBER(SEARCH(Predictor!$A$17:$A$35,C103))))/(1+Predictor!$B$8*SUMPRODUCT(--ISNUMBER(SEARCH(Predictor!$C$17:$C$21,C103)))))),0)</f>
        <v>840</v>
      </c>
      <c r="F103" s="2" t="str">
        <f aca="false">IF(E103&lt;=Predictor!$B$9,"interactive","batch")</f>
        <v>batch</v>
      </c>
      <c r="G103" s="6"/>
      <c r="H103" s="7" t="str">
        <f aca="false">IF(G103="","",ABS(E103-G103)/G103)</f>
        <v/>
      </c>
    </row>
    <row r="104" customFormat="false" ht="23.85" hidden="false" customHeight="false" outlineLevel="0" collapsed="false">
      <c r="A104" s="2" t="s">
        <v>215</v>
      </c>
      <c r="B104" s="9" t="s">
        <v>211</v>
      </c>
      <c r="C104" s="4" t="s">
        <v>216</v>
      </c>
      <c r="D104" s="5" t="n">
        <f aca="false">ROUNDUP(LEN(C104)/Predictor!$B$4,0)</f>
        <v>42</v>
      </c>
      <c r="E104" s="5" t="n">
        <f aca="false">ROUND(MAX(Predictor!$B$5,MIN(Predictor!$B$6,INDEX(Predictor!$B$12:$B$14,MATCH(B104,Predictor!$A$12:$A$14,0))*(1+Predictor!$B$7*SUMPRODUCT(--ISNUMBER(SEARCH(Predictor!$A$17:$A$35,C104))))/(1+Predictor!$B$8*SUMPRODUCT(--ISNUMBER(SEARCH(Predictor!$C$17:$C$21,C104)))))),0)</f>
        <v>840</v>
      </c>
      <c r="F104" s="2" t="str">
        <f aca="false">IF(E104&lt;=Predictor!$B$9,"interactive","batch")</f>
        <v>batch</v>
      </c>
      <c r="G104" s="6"/>
      <c r="H104" s="7" t="str">
        <f aca="false">IF(G104="","",ABS(E104-G104)/G104)</f>
        <v/>
      </c>
    </row>
    <row r="105" customFormat="false" ht="23.85" hidden="false" customHeight="false" outlineLevel="0" collapsed="false">
      <c r="A105" s="2" t="s">
        <v>217</v>
      </c>
      <c r="B105" s="9" t="s">
        <v>211</v>
      </c>
      <c r="C105" s="4" t="s">
        <v>218</v>
      </c>
      <c r="D105" s="5" t="n">
        <f aca="false">ROUNDUP(LEN(C105)/Predictor!$B$4,0)</f>
        <v>38</v>
      </c>
      <c r="E105" s="5" t="n">
        <f aca="false">ROUND(MAX(Predictor!$B$5,MIN(Predictor!$B$6,INDEX(Predictor!$B$12:$B$14,MATCH(B105,Predictor!$A$12:$A$14,0))*(1+Predictor!$B$7*SUMPRODUCT(--ISNUMBER(SEARCH(Predictor!$A$17:$A$35,C105))))/(1+Predictor!$B$8*SUMPRODUCT(--ISNUMBER(SEARCH(Predictor!$C$17:$C$21,C105)))))),0)</f>
        <v>1120</v>
      </c>
      <c r="F105" s="2" t="str">
        <f aca="false">IF(E105&lt;=Predictor!$B$9,"interactive","batch")</f>
        <v>batch</v>
      </c>
      <c r="G105" s="6"/>
      <c r="H105" s="7" t="str">
        <f aca="false">IF(G105="","",ABS(E105-G105)/G105)</f>
        <v/>
      </c>
    </row>
    <row r="106" customFormat="false" ht="23.85" hidden="false" customHeight="false" outlineLevel="0" collapsed="false">
      <c r="A106" s="2" t="s">
        <v>219</v>
      </c>
      <c r="B106" s="9" t="s">
        <v>211</v>
      </c>
      <c r="C106" s="4" t="s">
        <v>220</v>
      </c>
      <c r="D106" s="5" t="n">
        <f aca="false">ROUNDUP(LEN(C106)/Predictor!$B$4,0)</f>
        <v>33</v>
      </c>
      <c r="E106" s="5" t="n">
        <f aca="false">ROUND(MAX(Predictor!$B$5,MIN(Predictor!$B$6,INDEX(Predictor!$B$12:$B$14,MATCH(B106,Predictor!$A$12:$A$14,0))*(1+Predictor!$B$7*SUMPRODUCT(--ISNUMBER(SEARCH(Predictor!$A$17:$A$35,C106))))/(1+Predictor!$B$8*SUMPRODUCT(--ISNUMBER(SEARCH(Predictor!$C$17:$C$21,C106)))))),0)</f>
        <v>1260</v>
      </c>
      <c r="F106" s="2" t="str">
        <f aca="false">IF(E106&lt;=Predictor!$B$9,"interactive","batch")</f>
        <v>batch</v>
      </c>
      <c r="G106" s="6"/>
      <c r="H106" s="7" t="str">
        <f aca="false">IF(G106="","",ABS(E106-G106)/G106)</f>
        <v/>
      </c>
    </row>
    <row r="107" customFormat="false" ht="23.85" hidden="false" customHeight="false" outlineLevel="0" collapsed="false">
      <c r="A107" s="2" t="s">
        <v>221</v>
      </c>
      <c r="B107" s="9" t="s">
        <v>211</v>
      </c>
      <c r="C107" s="4" t="s">
        <v>222</v>
      </c>
      <c r="D107" s="5" t="n">
        <f aca="false">ROUNDUP(LEN(C107)/Predictor!$B$4,0)</f>
        <v>34</v>
      </c>
      <c r="E107" s="5" t="n">
        <f aca="false">ROUND(MAX(Predictor!$B$5,MIN(Predictor!$B$6,INDEX(Predictor!$B$12:$B$14,MATCH(B107,Predictor!$A$12:$A$14,0))*(1+Predictor!$B$7*SUMPRODUCT(--ISNUMBER(SEARCH(Predictor!$A$17:$A$35,C107))))/(1+Predictor!$B$8*SUMPRODUCT(--ISNUMBER(SEARCH(Predictor!$C$17:$C$21,C107)))))),0)</f>
        <v>980</v>
      </c>
      <c r="F107" s="2" t="str">
        <f aca="false">IF(E107&lt;=Predictor!$B$9,"interactive","batch")</f>
        <v>batch</v>
      </c>
      <c r="G107" s="6"/>
      <c r="H107" s="7" t="str">
        <f aca="false">IF(G107="","",ABS(E107-G107)/G107)</f>
        <v/>
      </c>
    </row>
    <row r="108" customFormat="false" ht="15" hidden="false" customHeight="false" outlineLevel="0" collapsed="false">
      <c r="A108" s="2" t="s">
        <v>223</v>
      </c>
      <c r="B108" s="9" t="s">
        <v>211</v>
      </c>
      <c r="C108" s="4" t="s">
        <v>224</v>
      </c>
      <c r="D108" s="5" t="n">
        <f aca="false">ROUNDUP(LEN(C108)/Predictor!$B$4,0)</f>
        <v>19</v>
      </c>
      <c r="E108" s="5" t="n">
        <f aca="false">ROUND(MAX(Predictor!$B$5,MIN(Predictor!$B$6,INDEX(Predictor!$B$12:$B$14,MATCH(B108,Predictor!$A$12:$A$14,0))*(1+Predictor!$B$7*SUMPRODUCT(--ISNUMBER(SEARCH(Predictor!$A$17:$A$35,C108))))/(1+Predictor!$B$8*SUMPRODUCT(--ISNUMBER(SEARCH(Predictor!$C$17:$C$21,C108)))))),0)</f>
        <v>840</v>
      </c>
      <c r="F108" s="2" t="str">
        <f aca="false">IF(E108&lt;=Predictor!$B$9,"interactive","batch")</f>
        <v>batch</v>
      </c>
      <c r="G108" s="6"/>
      <c r="H108" s="7" t="str">
        <f aca="false">IF(G108="","",ABS(E108-G108)/G108)</f>
        <v/>
      </c>
    </row>
    <row r="109" customFormat="false" ht="15" hidden="false" customHeight="false" outlineLevel="0" collapsed="false">
      <c r="A109" s="2" t="s">
        <v>225</v>
      </c>
      <c r="B109" s="9" t="s">
        <v>211</v>
      </c>
      <c r="C109" s="4" t="s">
        <v>226</v>
      </c>
      <c r="D109" s="5" t="n">
        <f aca="false">ROUNDUP(LEN(C109)/Predictor!$B$4,0)</f>
        <v>24</v>
      </c>
      <c r="E109" s="5" t="n">
        <f aca="false">ROUND(MAX(Predictor!$B$5,MIN(Predictor!$B$6,INDEX(Predictor!$B$12:$B$14,MATCH(B109,Predictor!$A$12:$A$14,0))*(1+Predictor!$B$7*SUMPRODUCT(--ISNUMBER(SEARCH(Predictor!$A$17:$A$35,C109))))/(1+Predictor!$B$8*SUMPRODUCT(--ISNUMBER(SEARCH(Predictor!$C$17:$C$21,C109)))))),0)</f>
        <v>980</v>
      </c>
      <c r="F109" s="2" t="str">
        <f aca="false">IF(E109&lt;=Predictor!$B$9,"interactive","batch")</f>
        <v>batch</v>
      </c>
      <c r="G109" s="6"/>
      <c r="H109" s="7" t="str">
        <f aca="false">IF(G109="","",ABS(E109-G109)/G109)</f>
        <v/>
      </c>
    </row>
    <row r="110" customFormat="false" ht="23.85" hidden="false" customHeight="false" outlineLevel="0" collapsed="false">
      <c r="A110" s="2" t="s">
        <v>227</v>
      </c>
      <c r="B110" s="9" t="s">
        <v>211</v>
      </c>
      <c r="C110" s="4" t="s">
        <v>228</v>
      </c>
      <c r="D110" s="5" t="n">
        <f aca="false">ROUNDUP(LEN(C110)/Predictor!$B$4,0)</f>
        <v>31</v>
      </c>
      <c r="E110" s="5" t="n">
        <f aca="false">ROUND(MAX(Predictor!$B$5,MIN(Predictor!$B$6,INDEX(Predictor!$B$12:$B$14,MATCH(B110,Predictor!$A$12:$A$14,0))*(1+Predictor!$B$7*SUMPRODUCT(--ISNUMBER(SEARCH(Predictor!$A$17:$A$35,C110))))/(1+Predictor!$B$8*SUMPRODUCT(--ISNUMBER(SEARCH(Predictor!$C$17:$C$21,C110)))))),0)</f>
        <v>980</v>
      </c>
      <c r="F110" s="2" t="str">
        <f aca="false">IF(E110&lt;=Predictor!$B$9,"interactive","batch")</f>
        <v>batch</v>
      </c>
      <c r="G110" s="6"/>
      <c r="H110" s="7" t="str">
        <f aca="false">IF(G110="","",ABS(E110-G110)/G110)</f>
        <v/>
      </c>
    </row>
    <row r="111" customFormat="false" ht="23.85" hidden="false" customHeight="false" outlineLevel="0" collapsed="false">
      <c r="A111" s="2" t="s">
        <v>229</v>
      </c>
      <c r="B111" s="9" t="s">
        <v>211</v>
      </c>
      <c r="C111" s="4" t="s">
        <v>230</v>
      </c>
      <c r="D111" s="5" t="n">
        <f aca="false">ROUNDUP(LEN(C111)/Predictor!$B$4,0)</f>
        <v>33</v>
      </c>
      <c r="E111" s="5" t="n">
        <f aca="false">ROUND(MAX(Predictor!$B$5,MIN(Predictor!$B$6,INDEX(Predictor!$B$12:$B$14,MATCH(B111,Predictor!$A$12:$A$14,0))*(1+Predictor!$B$7*SUMPRODUCT(--ISNUMBER(SEARCH(Predictor!$A$17:$A$35,C111))))/(1+Predictor!$B$8*SUMPRODUCT(--ISNUMBER(SEARCH(Predictor!$C$17:$C$21,C111)))))),0)</f>
        <v>1400</v>
      </c>
      <c r="F111" s="2" t="str">
        <f aca="false">IF(E111&lt;=Predictor!$B$9,"interactive","batch")</f>
        <v>batch</v>
      </c>
      <c r="G111" s="6"/>
      <c r="H111" s="7" t="str">
        <f aca="false">IF(G111="","",ABS(E111-G111)/G111)</f>
        <v/>
      </c>
    </row>
    <row r="112" customFormat="false" ht="23.85" hidden="false" customHeight="false" outlineLevel="0" collapsed="false">
      <c r="A112" s="2" t="s">
        <v>231</v>
      </c>
      <c r="B112" s="9" t="s">
        <v>211</v>
      </c>
      <c r="C112" s="4" t="s">
        <v>232</v>
      </c>
      <c r="D112" s="5" t="n">
        <f aca="false">ROUNDUP(LEN(C112)/Predictor!$B$4,0)</f>
        <v>35</v>
      </c>
      <c r="E112" s="5" t="n">
        <f aca="false">ROUND(MAX(Predictor!$B$5,MIN(Predictor!$B$6,INDEX(Predictor!$B$12:$B$14,MATCH(B112,Predictor!$A$12:$A$14,0))*(1+Predictor!$B$7*SUMPRODUCT(--ISNUMBER(SEARCH(Predictor!$A$17:$A$35,C112))))/(1+Predictor!$B$8*SUMPRODUCT(--ISNUMBER(SEARCH(Predictor!$C$17:$C$21,C112)))))),0)</f>
        <v>980</v>
      </c>
      <c r="F112" s="2" t="str">
        <f aca="false">IF(E112&lt;=Predictor!$B$9,"interactive","batch")</f>
        <v>batch</v>
      </c>
      <c r="G112" s="6"/>
      <c r="H112" s="7" t="str">
        <f aca="false">IF(G112="","",ABS(E112-G112)/G112)</f>
        <v/>
      </c>
    </row>
    <row r="113" customFormat="false" ht="23.85" hidden="false" customHeight="false" outlineLevel="0" collapsed="false">
      <c r="A113" s="2" t="s">
        <v>233</v>
      </c>
      <c r="B113" s="9" t="s">
        <v>211</v>
      </c>
      <c r="C113" s="4" t="s">
        <v>234</v>
      </c>
      <c r="D113" s="5" t="n">
        <f aca="false">ROUNDUP(LEN(C113)/Predictor!$B$4,0)</f>
        <v>42</v>
      </c>
      <c r="E113" s="5" t="n">
        <f aca="false">ROUND(MAX(Predictor!$B$5,MIN(Predictor!$B$6,INDEX(Predictor!$B$12:$B$14,MATCH(B113,Predictor!$A$12:$A$14,0))*(1+Predictor!$B$7*SUMPRODUCT(--ISNUMBER(SEARCH(Predictor!$A$17:$A$35,C113))))/(1+Predictor!$B$8*SUMPRODUCT(--ISNUMBER(SEARCH(Predictor!$C$17:$C$21,C113)))))),0)</f>
        <v>980</v>
      </c>
      <c r="F113" s="2" t="str">
        <f aca="false">IF(E113&lt;=Predictor!$B$9,"interactive","batch")</f>
        <v>batch</v>
      </c>
      <c r="G113" s="6"/>
      <c r="H113" s="7" t="str">
        <f aca="false">IF(G113="","",ABS(E113-G113)/G113)</f>
        <v/>
      </c>
    </row>
    <row r="114" customFormat="false" ht="23.85" hidden="false" customHeight="false" outlineLevel="0" collapsed="false">
      <c r="A114" s="2" t="s">
        <v>235</v>
      </c>
      <c r="B114" s="9" t="s">
        <v>211</v>
      </c>
      <c r="C114" s="4" t="s">
        <v>236</v>
      </c>
      <c r="D114" s="5" t="n">
        <f aca="false">ROUNDUP(LEN(C114)/Predictor!$B$4,0)</f>
        <v>33</v>
      </c>
      <c r="E114" s="5" t="n">
        <f aca="false">ROUND(MAX(Predictor!$B$5,MIN(Predictor!$B$6,INDEX(Predictor!$B$12:$B$14,MATCH(B114,Predictor!$A$12:$A$14,0))*(1+Predictor!$B$7*SUMPRODUCT(--ISNUMBER(SEARCH(Predictor!$A$17:$A$35,C114))))/(1+Predictor!$B$8*SUMPRODUCT(--ISNUMBER(SEARCH(Predictor!$C$17:$C$21,C114)))))),0)</f>
        <v>980</v>
      </c>
      <c r="F114" s="2" t="str">
        <f aca="false">IF(E114&lt;=Predictor!$B$9,"interactive","batch")</f>
        <v>batch</v>
      </c>
      <c r="G114" s="6"/>
      <c r="H114" s="7" t="str">
        <f aca="false">IF(G114="","",ABS(E114-G114)/G114)</f>
        <v/>
      </c>
    </row>
    <row r="115" customFormat="false" ht="15" hidden="false" customHeight="false" outlineLevel="0" collapsed="false">
      <c r="A115" s="2" t="s">
        <v>237</v>
      </c>
      <c r="B115" s="9" t="s">
        <v>211</v>
      </c>
      <c r="C115" s="4" t="s">
        <v>238</v>
      </c>
      <c r="D115" s="5" t="n">
        <f aca="false">ROUNDUP(LEN(C115)/Predictor!$B$4,0)</f>
        <v>24</v>
      </c>
      <c r="E115" s="5" t="n">
        <f aca="false">ROUND(MAX(Predictor!$B$5,MIN(Predictor!$B$6,INDEX(Predictor!$B$12:$B$14,MATCH(B115,Predictor!$A$12:$A$14,0))*(1+Predictor!$B$7*SUMPRODUCT(--ISNUMBER(SEARCH(Predictor!$A$17:$A$35,C115))))/(1+Predictor!$B$8*SUMPRODUCT(--ISNUMBER(SEARCH(Predictor!$C$17:$C$21,C115)))))),0)</f>
        <v>1260</v>
      </c>
      <c r="F115" s="2" t="str">
        <f aca="false">IF(E115&lt;=Predictor!$B$9,"interactive","batch")</f>
        <v>batch</v>
      </c>
      <c r="G115" s="6"/>
      <c r="H115" s="7" t="str">
        <f aca="false">IF(G115="","",ABS(E115-G115)/G115)</f>
        <v/>
      </c>
    </row>
    <row r="116" customFormat="false" ht="23.85" hidden="false" customHeight="false" outlineLevel="0" collapsed="false">
      <c r="A116" s="2" t="s">
        <v>239</v>
      </c>
      <c r="B116" s="9" t="s">
        <v>211</v>
      </c>
      <c r="C116" s="4" t="s">
        <v>240</v>
      </c>
      <c r="D116" s="5" t="n">
        <f aca="false">ROUNDUP(LEN(C116)/Predictor!$B$4,0)</f>
        <v>34</v>
      </c>
      <c r="E116" s="5" t="n">
        <f aca="false">ROUND(MAX(Predictor!$B$5,MIN(Predictor!$B$6,INDEX(Predictor!$B$12:$B$14,MATCH(B116,Predictor!$A$12:$A$14,0))*(1+Predictor!$B$7*SUMPRODUCT(--ISNUMBER(SEARCH(Predictor!$A$17:$A$35,C116))))/(1+Predictor!$B$8*SUMPRODUCT(--ISNUMBER(SEARCH(Predictor!$C$17:$C$21,C116)))))),0)</f>
        <v>980</v>
      </c>
      <c r="F116" s="2" t="str">
        <f aca="false">IF(E116&lt;=Predictor!$B$9,"interactive","batch")</f>
        <v>batch</v>
      </c>
      <c r="G116" s="6"/>
      <c r="H116" s="7" t="str">
        <f aca="false">IF(G116="","",ABS(E116-G116)/G116)</f>
        <v/>
      </c>
    </row>
    <row r="117" customFormat="false" ht="23.85" hidden="false" customHeight="false" outlineLevel="0" collapsed="false">
      <c r="A117" s="2" t="s">
        <v>241</v>
      </c>
      <c r="B117" s="9" t="s">
        <v>211</v>
      </c>
      <c r="C117" s="4" t="s">
        <v>242</v>
      </c>
      <c r="D117" s="5" t="n">
        <f aca="false">ROUNDUP(LEN(C117)/Predictor!$B$4,0)</f>
        <v>32</v>
      </c>
      <c r="E117" s="5" t="n">
        <f aca="false">ROUND(MAX(Predictor!$B$5,MIN(Predictor!$B$6,INDEX(Predictor!$B$12:$B$14,MATCH(B117,Predictor!$A$12:$A$14,0))*(1+Predictor!$B$7*SUMPRODUCT(--ISNUMBER(SEARCH(Predictor!$A$17:$A$35,C117))))/(1+Predictor!$B$8*SUMPRODUCT(--ISNUMBER(SEARCH(Predictor!$C$17:$C$21,C117)))))),0)</f>
        <v>980</v>
      </c>
      <c r="F117" s="2" t="str">
        <f aca="false">IF(E117&lt;=Predictor!$B$9,"interactive","batch")</f>
        <v>batch</v>
      </c>
      <c r="G117" s="6"/>
      <c r="H117" s="7" t="str">
        <f aca="false">IF(G117="","",ABS(E117-G117)/G117)</f>
        <v/>
      </c>
    </row>
    <row r="118" customFormat="false" ht="23.85" hidden="false" customHeight="false" outlineLevel="0" collapsed="false">
      <c r="A118" s="2" t="s">
        <v>243</v>
      </c>
      <c r="B118" s="9" t="s">
        <v>211</v>
      </c>
      <c r="C118" s="4" t="s">
        <v>244</v>
      </c>
      <c r="D118" s="5" t="n">
        <f aca="false">ROUNDUP(LEN(C118)/Predictor!$B$4,0)</f>
        <v>34</v>
      </c>
      <c r="E118" s="5" t="n">
        <f aca="false">ROUND(MAX(Predictor!$B$5,MIN(Predictor!$B$6,INDEX(Predictor!$B$12:$B$14,MATCH(B118,Predictor!$A$12:$A$14,0))*(1+Predictor!$B$7*SUMPRODUCT(--ISNUMBER(SEARCH(Predictor!$A$17:$A$35,C118))))/(1+Predictor!$B$8*SUMPRODUCT(--ISNUMBER(SEARCH(Predictor!$C$17:$C$21,C118)))))),0)</f>
        <v>980</v>
      </c>
      <c r="F118" s="2" t="str">
        <f aca="false">IF(E118&lt;=Predictor!$B$9,"interactive","batch")</f>
        <v>batch</v>
      </c>
      <c r="G118" s="6"/>
      <c r="H118" s="7" t="str">
        <f aca="false">IF(G118="","",ABS(E118-G118)/G118)</f>
        <v/>
      </c>
    </row>
    <row r="119" customFormat="false" ht="23.85" hidden="false" customHeight="false" outlineLevel="0" collapsed="false">
      <c r="A119" s="2" t="s">
        <v>245</v>
      </c>
      <c r="B119" s="9" t="s">
        <v>211</v>
      </c>
      <c r="C119" s="4" t="s">
        <v>246</v>
      </c>
      <c r="D119" s="5" t="n">
        <f aca="false">ROUNDUP(LEN(C119)/Predictor!$B$4,0)</f>
        <v>38</v>
      </c>
      <c r="E119" s="5" t="n">
        <f aca="false">ROUND(MAX(Predictor!$B$5,MIN(Predictor!$B$6,INDEX(Predictor!$B$12:$B$14,MATCH(B119,Predictor!$A$12:$A$14,0))*(1+Predictor!$B$7*SUMPRODUCT(--ISNUMBER(SEARCH(Predictor!$A$17:$A$35,C119))))/(1+Predictor!$B$8*SUMPRODUCT(--ISNUMBER(SEARCH(Predictor!$C$17:$C$21,C119)))))),0)</f>
        <v>980</v>
      </c>
      <c r="F119" s="2" t="str">
        <f aca="false">IF(E119&lt;=Predictor!$B$9,"interactive","batch")</f>
        <v>batch</v>
      </c>
      <c r="G119" s="6"/>
      <c r="H119" s="7" t="str">
        <f aca="false">IF(G119="","",ABS(E119-G119)/G119)</f>
        <v/>
      </c>
    </row>
    <row r="120" customFormat="false" ht="23.85" hidden="false" customHeight="false" outlineLevel="0" collapsed="false">
      <c r="A120" s="2" t="s">
        <v>247</v>
      </c>
      <c r="B120" s="9" t="s">
        <v>211</v>
      </c>
      <c r="C120" s="4" t="s">
        <v>248</v>
      </c>
      <c r="D120" s="5" t="n">
        <f aca="false">ROUNDUP(LEN(C120)/Predictor!$B$4,0)</f>
        <v>36</v>
      </c>
      <c r="E120" s="5" t="n">
        <f aca="false">ROUND(MAX(Predictor!$B$5,MIN(Predictor!$B$6,INDEX(Predictor!$B$12:$B$14,MATCH(B120,Predictor!$A$12:$A$14,0))*(1+Predictor!$B$7*SUMPRODUCT(--ISNUMBER(SEARCH(Predictor!$A$17:$A$35,C120))))/(1+Predictor!$B$8*SUMPRODUCT(--ISNUMBER(SEARCH(Predictor!$C$17:$C$21,C120)))))),0)</f>
        <v>980</v>
      </c>
      <c r="F120" s="2" t="str">
        <f aca="false">IF(E120&lt;=Predictor!$B$9,"interactive","batch")</f>
        <v>batch</v>
      </c>
      <c r="G120" s="6"/>
      <c r="H120" s="7" t="str">
        <f aca="false">IF(G120="","",ABS(E120-G120)/G120)</f>
        <v/>
      </c>
    </row>
    <row r="121" customFormat="false" ht="15" hidden="false" customHeight="false" outlineLevel="0" collapsed="false">
      <c r="A121" s="2" t="s">
        <v>249</v>
      </c>
      <c r="B121" s="9" t="s">
        <v>211</v>
      </c>
      <c r="C121" s="4" t="s">
        <v>250</v>
      </c>
      <c r="D121" s="5" t="n">
        <f aca="false">ROUNDUP(LEN(C121)/Predictor!$B$4,0)</f>
        <v>30</v>
      </c>
      <c r="E121" s="5" t="n">
        <f aca="false">ROUND(MAX(Predictor!$B$5,MIN(Predictor!$B$6,INDEX(Predictor!$B$12:$B$14,MATCH(B121,Predictor!$A$12:$A$14,0))*(1+Predictor!$B$7*SUMPRODUCT(--ISNUMBER(SEARCH(Predictor!$A$17:$A$35,C121))))/(1+Predictor!$B$8*SUMPRODUCT(--ISNUMBER(SEARCH(Predictor!$C$17:$C$21,C121)))))),0)</f>
        <v>840</v>
      </c>
      <c r="F121" s="2" t="str">
        <f aca="false">IF(E121&lt;=Predictor!$B$9,"interactive","batch")</f>
        <v>batch</v>
      </c>
      <c r="G121" s="6"/>
      <c r="H121" s="7" t="str">
        <f aca="false">IF(G121="","",ABS(E121-G121)/G121)</f>
        <v/>
      </c>
    </row>
    <row r="122" customFormat="false" ht="15" hidden="false" customHeight="false" outlineLevel="0" collapsed="false">
      <c r="A122" s="2" t="s">
        <v>251</v>
      </c>
      <c r="B122" s="9" t="s">
        <v>211</v>
      </c>
      <c r="C122" s="4" t="s">
        <v>252</v>
      </c>
      <c r="D122" s="5" t="n">
        <f aca="false">ROUNDUP(LEN(C122)/Predictor!$B$4,0)</f>
        <v>24</v>
      </c>
      <c r="E122" s="5" t="n">
        <f aca="false">ROUND(MAX(Predictor!$B$5,MIN(Predictor!$B$6,INDEX(Predictor!$B$12:$B$14,MATCH(B122,Predictor!$A$12:$A$14,0))*(1+Predictor!$B$7*SUMPRODUCT(--ISNUMBER(SEARCH(Predictor!$A$17:$A$35,C122))))/(1+Predictor!$B$8*SUMPRODUCT(--ISNUMBER(SEARCH(Predictor!$C$17:$C$21,C122)))))),0)</f>
        <v>1120</v>
      </c>
      <c r="F122" s="2" t="str">
        <f aca="false">IF(E122&lt;=Predictor!$B$9,"interactive","batch")</f>
        <v>batch</v>
      </c>
      <c r="G122" s="6"/>
      <c r="H122" s="7" t="str">
        <f aca="false">IF(G122="","",ABS(E122-G122)/G122)</f>
        <v/>
      </c>
    </row>
    <row r="123" customFormat="false" ht="23.85" hidden="false" customHeight="false" outlineLevel="0" collapsed="false">
      <c r="A123" s="2" t="s">
        <v>253</v>
      </c>
      <c r="B123" s="9" t="s">
        <v>211</v>
      </c>
      <c r="C123" s="4" t="s">
        <v>254</v>
      </c>
      <c r="D123" s="5" t="n">
        <f aca="false">ROUNDUP(LEN(C123)/Predictor!$B$4,0)</f>
        <v>36</v>
      </c>
      <c r="E123" s="5" t="n">
        <f aca="false">ROUND(MAX(Predictor!$B$5,MIN(Predictor!$B$6,INDEX(Predictor!$B$12:$B$14,MATCH(B123,Predictor!$A$12:$A$14,0))*(1+Predictor!$B$7*SUMPRODUCT(--ISNUMBER(SEARCH(Predictor!$A$17:$A$35,C123))))/(1+Predictor!$B$8*SUMPRODUCT(--ISNUMBER(SEARCH(Predictor!$C$17:$C$21,C123)))))),0)</f>
        <v>840</v>
      </c>
      <c r="F123" s="2" t="str">
        <f aca="false">IF(E123&lt;=Predictor!$B$9,"interactive","batch")</f>
        <v>batch</v>
      </c>
      <c r="G123" s="6"/>
      <c r="H123" s="7" t="str">
        <f aca="false">IF(G123="","",ABS(E123-G123)/G123)</f>
        <v/>
      </c>
    </row>
    <row r="124" customFormat="false" ht="23.85" hidden="false" customHeight="false" outlineLevel="0" collapsed="false">
      <c r="A124" s="2" t="s">
        <v>255</v>
      </c>
      <c r="B124" s="9" t="s">
        <v>211</v>
      </c>
      <c r="C124" s="4" t="s">
        <v>256</v>
      </c>
      <c r="D124" s="5" t="n">
        <f aca="false">ROUNDUP(LEN(C124)/Predictor!$B$4,0)</f>
        <v>35</v>
      </c>
      <c r="E124" s="5" t="n">
        <f aca="false">ROUND(MAX(Predictor!$B$5,MIN(Predictor!$B$6,INDEX(Predictor!$B$12:$B$14,MATCH(B124,Predictor!$A$12:$A$14,0))*(1+Predictor!$B$7*SUMPRODUCT(--ISNUMBER(SEARCH(Predictor!$A$17:$A$35,C124))))/(1+Predictor!$B$8*SUMPRODUCT(--ISNUMBER(SEARCH(Predictor!$C$17:$C$21,C124)))))),0)</f>
        <v>840</v>
      </c>
      <c r="F124" s="2" t="str">
        <f aca="false">IF(E124&lt;=Predictor!$B$9,"interactive","batch")</f>
        <v>batch</v>
      </c>
      <c r="G124" s="6"/>
      <c r="H124" s="7" t="str">
        <f aca="false">IF(G124="","",ABS(E124-G124)/G124)</f>
        <v/>
      </c>
    </row>
    <row r="125" customFormat="false" ht="23.85" hidden="false" customHeight="false" outlineLevel="0" collapsed="false">
      <c r="A125" s="2" t="s">
        <v>257</v>
      </c>
      <c r="B125" s="9" t="s">
        <v>211</v>
      </c>
      <c r="C125" s="4" t="s">
        <v>258</v>
      </c>
      <c r="D125" s="5" t="n">
        <f aca="false">ROUNDUP(LEN(C125)/Predictor!$B$4,0)</f>
        <v>31</v>
      </c>
      <c r="E125" s="5" t="n">
        <f aca="false">ROUND(MAX(Predictor!$B$5,MIN(Predictor!$B$6,INDEX(Predictor!$B$12:$B$14,MATCH(B125,Predictor!$A$12:$A$14,0))*(1+Predictor!$B$7*SUMPRODUCT(--ISNUMBER(SEARCH(Predictor!$A$17:$A$35,C125))))/(1+Predictor!$B$8*SUMPRODUCT(--ISNUMBER(SEARCH(Predictor!$C$17:$C$21,C125)))))),0)</f>
        <v>980</v>
      </c>
      <c r="F125" s="2" t="str">
        <f aca="false">IF(E125&lt;=Predictor!$B$9,"interactive","batch")</f>
        <v>batch</v>
      </c>
      <c r="G125" s="6"/>
      <c r="H125" s="7" t="str">
        <f aca="false">IF(G125="","",ABS(E125-G125)/G125)</f>
        <v/>
      </c>
    </row>
    <row r="126" customFormat="false" ht="23.85" hidden="false" customHeight="false" outlineLevel="0" collapsed="false">
      <c r="A126" s="2" t="s">
        <v>259</v>
      </c>
      <c r="B126" s="9" t="s">
        <v>211</v>
      </c>
      <c r="C126" s="4" t="s">
        <v>260</v>
      </c>
      <c r="D126" s="5" t="n">
        <f aca="false">ROUNDUP(LEN(C126)/Predictor!$B$4,0)</f>
        <v>37</v>
      </c>
      <c r="E126" s="5" t="n">
        <f aca="false">ROUND(MAX(Predictor!$B$5,MIN(Predictor!$B$6,INDEX(Predictor!$B$12:$B$14,MATCH(B126,Predictor!$A$12:$A$14,0))*(1+Predictor!$B$7*SUMPRODUCT(--ISNUMBER(SEARCH(Predictor!$A$17:$A$35,C126))))/(1+Predictor!$B$8*SUMPRODUCT(--ISNUMBER(SEARCH(Predictor!$C$17:$C$21,C126)))))),0)</f>
        <v>700</v>
      </c>
      <c r="F126" s="2" t="str">
        <f aca="false">IF(E126&lt;=Predictor!$B$9,"interactive","batch")</f>
        <v>batch</v>
      </c>
      <c r="G126" s="6"/>
      <c r="H126" s="7" t="str">
        <f aca="false">IF(G126="","",ABS(E126-G126)/G126)</f>
        <v/>
      </c>
    </row>
    <row r="127" customFormat="false" ht="23.85" hidden="false" customHeight="false" outlineLevel="0" collapsed="false">
      <c r="A127" s="2" t="s">
        <v>261</v>
      </c>
      <c r="B127" s="9" t="s">
        <v>211</v>
      </c>
      <c r="C127" s="4" t="s">
        <v>262</v>
      </c>
      <c r="D127" s="5" t="n">
        <f aca="false">ROUNDUP(LEN(C127)/Predictor!$B$4,0)</f>
        <v>31</v>
      </c>
      <c r="E127" s="5" t="n">
        <f aca="false">ROUND(MAX(Predictor!$B$5,MIN(Predictor!$B$6,INDEX(Predictor!$B$12:$B$14,MATCH(B127,Predictor!$A$12:$A$14,0))*(1+Predictor!$B$7*SUMPRODUCT(--ISNUMBER(SEARCH(Predictor!$A$17:$A$35,C127))))/(1+Predictor!$B$8*SUMPRODUCT(--ISNUMBER(SEARCH(Predictor!$C$17:$C$21,C127)))))),0)</f>
        <v>1120</v>
      </c>
      <c r="F127" s="2" t="str">
        <f aca="false">IF(E127&lt;=Predictor!$B$9,"interactive","batch")</f>
        <v>batch</v>
      </c>
      <c r="G127" s="6"/>
      <c r="H127" s="7" t="str">
        <f aca="false">IF(G127="","",ABS(E127-G127)/G127)</f>
        <v/>
      </c>
    </row>
    <row r="128" customFormat="false" ht="23.85" hidden="false" customHeight="false" outlineLevel="0" collapsed="false">
      <c r="A128" s="2" t="s">
        <v>263</v>
      </c>
      <c r="B128" s="9" t="s">
        <v>211</v>
      </c>
      <c r="C128" s="4" t="s">
        <v>264</v>
      </c>
      <c r="D128" s="5" t="n">
        <f aca="false">ROUNDUP(LEN(C128)/Predictor!$B$4,0)</f>
        <v>36</v>
      </c>
      <c r="E128" s="5" t="n">
        <f aca="false">ROUND(MAX(Predictor!$B$5,MIN(Predictor!$B$6,INDEX(Predictor!$B$12:$B$14,MATCH(B128,Predictor!$A$12:$A$14,0))*(1+Predictor!$B$7*SUMPRODUCT(--ISNUMBER(SEARCH(Predictor!$A$17:$A$35,C128))))/(1+Predictor!$B$8*SUMPRODUCT(--ISNUMBER(SEARCH(Predictor!$C$17:$C$21,C128)))))),0)</f>
        <v>840</v>
      </c>
      <c r="F128" s="2" t="str">
        <f aca="false">IF(E128&lt;=Predictor!$B$9,"interactive","batch")</f>
        <v>batch</v>
      </c>
      <c r="G128" s="6"/>
      <c r="H128" s="7" t="str">
        <f aca="false">IF(G128="","",ABS(E128-G128)/G128)</f>
        <v/>
      </c>
    </row>
    <row r="129" customFormat="false" ht="23.85" hidden="false" customHeight="false" outlineLevel="0" collapsed="false">
      <c r="A129" s="2" t="s">
        <v>265</v>
      </c>
      <c r="B129" s="9" t="s">
        <v>211</v>
      </c>
      <c r="C129" s="4" t="s">
        <v>266</v>
      </c>
      <c r="D129" s="5" t="n">
        <f aca="false">ROUNDUP(LEN(C129)/Predictor!$B$4,0)</f>
        <v>35</v>
      </c>
      <c r="E129" s="5" t="n">
        <f aca="false">ROUND(MAX(Predictor!$B$5,MIN(Predictor!$B$6,INDEX(Predictor!$B$12:$B$14,MATCH(B129,Predictor!$A$12:$A$14,0))*(1+Predictor!$B$7*SUMPRODUCT(--ISNUMBER(SEARCH(Predictor!$A$17:$A$35,C129))))/(1+Predictor!$B$8*SUMPRODUCT(--ISNUMBER(SEARCH(Predictor!$C$17:$C$21,C129)))))),0)</f>
        <v>980</v>
      </c>
      <c r="F129" s="2" t="str">
        <f aca="false">IF(E129&lt;=Predictor!$B$9,"interactive","batch")</f>
        <v>batch</v>
      </c>
      <c r="G129" s="6"/>
      <c r="H129" s="7" t="str">
        <f aca="false">IF(G129="","",ABS(E129-G129)/G129)</f>
        <v/>
      </c>
    </row>
    <row r="130" customFormat="false" ht="23.85" hidden="false" customHeight="false" outlineLevel="0" collapsed="false">
      <c r="A130" s="2" t="s">
        <v>267</v>
      </c>
      <c r="B130" s="9" t="s">
        <v>211</v>
      </c>
      <c r="C130" s="4" t="s">
        <v>268</v>
      </c>
      <c r="D130" s="5" t="n">
        <f aca="false">ROUNDUP(LEN(C130)/Predictor!$B$4,0)</f>
        <v>37</v>
      </c>
      <c r="E130" s="5" t="n">
        <f aca="false">ROUND(MAX(Predictor!$B$5,MIN(Predictor!$B$6,INDEX(Predictor!$B$12:$B$14,MATCH(B130,Predictor!$A$12:$A$14,0))*(1+Predictor!$B$7*SUMPRODUCT(--ISNUMBER(SEARCH(Predictor!$A$17:$A$35,C130))))/(1+Predictor!$B$8*SUMPRODUCT(--ISNUMBER(SEARCH(Predictor!$C$17:$C$21,C130)))))),0)</f>
        <v>1120</v>
      </c>
      <c r="F130" s="2" t="str">
        <f aca="false">IF(E130&lt;=Predictor!$B$9,"interactive","batch")</f>
        <v>batch</v>
      </c>
      <c r="G130" s="6"/>
      <c r="H130" s="7" t="str">
        <f aca="false">IF(G130="","",ABS(E130-G130)/G130)</f>
        <v/>
      </c>
    </row>
    <row r="131" customFormat="false" ht="23.85" hidden="false" customHeight="false" outlineLevel="0" collapsed="false">
      <c r="A131" s="2" t="s">
        <v>269</v>
      </c>
      <c r="B131" s="9" t="s">
        <v>211</v>
      </c>
      <c r="C131" s="4" t="s">
        <v>270</v>
      </c>
      <c r="D131" s="5" t="n">
        <f aca="false">ROUNDUP(LEN(C131)/Predictor!$B$4,0)</f>
        <v>36</v>
      </c>
      <c r="E131" s="5" t="n">
        <f aca="false">ROUND(MAX(Predictor!$B$5,MIN(Predictor!$B$6,INDEX(Predictor!$B$12:$B$14,MATCH(B131,Predictor!$A$12:$A$14,0))*(1+Predictor!$B$7*SUMPRODUCT(--ISNUMBER(SEARCH(Predictor!$A$17:$A$35,C131))))/(1+Predictor!$B$8*SUMPRODUCT(--ISNUMBER(SEARCH(Predictor!$C$17:$C$21,C131)))))),0)</f>
        <v>1260</v>
      </c>
      <c r="F131" s="2" t="str">
        <f aca="false">IF(E131&lt;=Predictor!$B$9,"interactive","batch")</f>
        <v>batch</v>
      </c>
      <c r="G131" s="6"/>
      <c r="H131" s="7" t="str">
        <f aca="false">IF(G131="","",ABS(E131-G131)/G131)</f>
        <v/>
      </c>
    </row>
    <row r="132" customFormat="false" ht="23.85" hidden="false" customHeight="false" outlineLevel="0" collapsed="false">
      <c r="A132" s="2" t="s">
        <v>271</v>
      </c>
      <c r="B132" s="9" t="s">
        <v>211</v>
      </c>
      <c r="C132" s="4" t="s">
        <v>272</v>
      </c>
      <c r="D132" s="5" t="n">
        <f aca="false">ROUNDUP(LEN(C132)/Predictor!$B$4,0)</f>
        <v>34</v>
      </c>
      <c r="E132" s="5" t="n">
        <f aca="false">ROUND(MAX(Predictor!$B$5,MIN(Predictor!$B$6,INDEX(Predictor!$B$12:$B$14,MATCH(B132,Predictor!$A$12:$A$14,0))*(1+Predictor!$B$7*SUMPRODUCT(--ISNUMBER(SEARCH(Predictor!$A$17:$A$35,C132))))/(1+Predictor!$B$8*SUMPRODUCT(--ISNUMBER(SEARCH(Predictor!$C$17:$C$21,C132)))))),0)</f>
        <v>980</v>
      </c>
      <c r="F132" s="2" t="str">
        <f aca="false">IF(E132&lt;=Predictor!$B$9,"interactive","batch")</f>
        <v>batch</v>
      </c>
      <c r="G132" s="6"/>
      <c r="H132" s="7" t="str">
        <f aca="false">IF(G132="","",ABS(E132-G132)/G132)</f>
        <v/>
      </c>
    </row>
    <row r="133" customFormat="false" ht="15" hidden="false" customHeight="false" outlineLevel="0" collapsed="false">
      <c r="A133" s="2" t="s">
        <v>273</v>
      </c>
      <c r="B133" s="9" t="s">
        <v>211</v>
      </c>
      <c r="C133" s="4" t="s">
        <v>274</v>
      </c>
      <c r="D133" s="5" t="n">
        <f aca="false">ROUNDUP(LEN(C133)/Predictor!$B$4,0)</f>
        <v>28</v>
      </c>
      <c r="E133" s="5" t="n">
        <f aca="false">ROUND(MAX(Predictor!$B$5,MIN(Predictor!$B$6,INDEX(Predictor!$B$12:$B$14,MATCH(B133,Predictor!$A$12:$A$14,0))*(1+Predictor!$B$7*SUMPRODUCT(--ISNUMBER(SEARCH(Predictor!$A$17:$A$35,C133))))/(1+Predictor!$B$8*SUMPRODUCT(--ISNUMBER(SEARCH(Predictor!$C$17:$C$21,C133)))))),0)</f>
        <v>840</v>
      </c>
      <c r="F133" s="2" t="str">
        <f aca="false">IF(E133&lt;=Predictor!$B$9,"interactive","batch")</f>
        <v>batch</v>
      </c>
      <c r="G133" s="6"/>
      <c r="H133" s="7" t="str">
        <f aca="false">IF(G133="","",ABS(E133-G133)/G133)</f>
        <v/>
      </c>
    </row>
    <row r="134" customFormat="false" ht="23.85" hidden="false" customHeight="false" outlineLevel="0" collapsed="false">
      <c r="A134" s="2" t="s">
        <v>275</v>
      </c>
      <c r="B134" s="9" t="s">
        <v>211</v>
      </c>
      <c r="C134" s="4" t="s">
        <v>276</v>
      </c>
      <c r="D134" s="5" t="n">
        <f aca="false">ROUNDUP(LEN(C134)/Predictor!$B$4,0)</f>
        <v>38</v>
      </c>
      <c r="E134" s="5" t="n">
        <f aca="false">ROUND(MAX(Predictor!$B$5,MIN(Predictor!$B$6,INDEX(Predictor!$B$12:$B$14,MATCH(B134,Predictor!$A$12:$A$14,0))*(1+Predictor!$B$7*SUMPRODUCT(--ISNUMBER(SEARCH(Predictor!$A$17:$A$35,C134))))/(1+Predictor!$B$8*SUMPRODUCT(--ISNUMBER(SEARCH(Predictor!$C$17:$C$21,C134)))))),0)</f>
        <v>980</v>
      </c>
      <c r="F134" s="2" t="str">
        <f aca="false">IF(E134&lt;=Predictor!$B$9,"interactive","batch")</f>
        <v>batch</v>
      </c>
      <c r="G134" s="6"/>
      <c r="H134" s="7" t="str">
        <f aca="false">IF(G134="","",ABS(E134-G134)/G134)</f>
        <v/>
      </c>
    </row>
    <row r="135" customFormat="false" ht="23.85" hidden="false" customHeight="false" outlineLevel="0" collapsed="false">
      <c r="A135" s="2" t="s">
        <v>277</v>
      </c>
      <c r="B135" s="9" t="s">
        <v>211</v>
      </c>
      <c r="C135" s="4" t="s">
        <v>278</v>
      </c>
      <c r="D135" s="5" t="n">
        <f aca="false">ROUNDUP(LEN(C135)/Predictor!$B$4,0)</f>
        <v>35</v>
      </c>
      <c r="E135" s="5" t="n">
        <f aca="false">ROUND(MAX(Predictor!$B$5,MIN(Predictor!$B$6,INDEX(Predictor!$B$12:$B$14,MATCH(B135,Predictor!$A$12:$A$14,0))*(1+Predictor!$B$7*SUMPRODUCT(--ISNUMBER(SEARCH(Predictor!$A$17:$A$35,C135))))/(1+Predictor!$B$8*SUMPRODUCT(--ISNUMBER(SEARCH(Predictor!$C$17:$C$21,C135)))))),0)</f>
        <v>980</v>
      </c>
      <c r="F135" s="2" t="str">
        <f aca="false">IF(E135&lt;=Predictor!$B$9,"interactive","batch")</f>
        <v>batch</v>
      </c>
      <c r="G135" s="6"/>
      <c r="H135" s="7" t="str">
        <f aca="false">IF(G135="","",ABS(E135-G135)/G135)</f>
        <v/>
      </c>
    </row>
    <row r="136" customFormat="false" ht="23.85" hidden="false" customHeight="false" outlineLevel="0" collapsed="false">
      <c r="A136" s="2" t="s">
        <v>279</v>
      </c>
      <c r="B136" s="9" t="s">
        <v>211</v>
      </c>
      <c r="C136" s="4" t="s">
        <v>280</v>
      </c>
      <c r="D136" s="5" t="n">
        <f aca="false">ROUNDUP(LEN(C136)/Predictor!$B$4,0)</f>
        <v>31</v>
      </c>
      <c r="E136" s="5" t="n">
        <f aca="false">ROUND(MAX(Predictor!$B$5,MIN(Predictor!$B$6,INDEX(Predictor!$B$12:$B$14,MATCH(B136,Predictor!$A$12:$A$14,0))*(1+Predictor!$B$7*SUMPRODUCT(--ISNUMBER(SEARCH(Predictor!$A$17:$A$35,C136))))/(1+Predictor!$B$8*SUMPRODUCT(--ISNUMBER(SEARCH(Predictor!$C$17:$C$21,C136)))))),0)</f>
        <v>840</v>
      </c>
      <c r="F136" s="2" t="str">
        <f aca="false">IF(E136&lt;=Predictor!$B$9,"interactive","batch")</f>
        <v>batch</v>
      </c>
      <c r="G136" s="6"/>
      <c r="H136" s="7" t="str">
        <f aca="false">IF(G136="","",ABS(E136-G136)/G136)</f>
        <v/>
      </c>
    </row>
    <row r="137" customFormat="false" ht="23.85" hidden="false" customHeight="false" outlineLevel="0" collapsed="false">
      <c r="A137" s="2" t="s">
        <v>281</v>
      </c>
      <c r="B137" s="9" t="s">
        <v>211</v>
      </c>
      <c r="C137" s="4" t="s">
        <v>282</v>
      </c>
      <c r="D137" s="5" t="n">
        <f aca="false">ROUNDUP(LEN(C137)/Predictor!$B$4,0)</f>
        <v>36</v>
      </c>
      <c r="E137" s="5" t="n">
        <f aca="false">ROUND(MAX(Predictor!$B$5,MIN(Predictor!$B$6,INDEX(Predictor!$B$12:$B$14,MATCH(B137,Predictor!$A$12:$A$14,0))*(1+Predictor!$B$7*SUMPRODUCT(--ISNUMBER(SEARCH(Predictor!$A$17:$A$35,C137))))/(1+Predictor!$B$8*SUMPRODUCT(--ISNUMBER(SEARCH(Predictor!$C$17:$C$21,C137)))))),0)</f>
        <v>980</v>
      </c>
      <c r="F137" s="2" t="str">
        <f aca="false">IF(E137&lt;=Predictor!$B$9,"interactive","batch")</f>
        <v>batch</v>
      </c>
      <c r="G137" s="6"/>
      <c r="H137" s="7" t="str">
        <f aca="false">IF(G137="","",ABS(E137-G137)/G137)</f>
        <v/>
      </c>
    </row>
    <row r="138" customFormat="false" ht="23.85" hidden="false" customHeight="false" outlineLevel="0" collapsed="false">
      <c r="A138" s="2" t="s">
        <v>283</v>
      </c>
      <c r="B138" s="9" t="s">
        <v>211</v>
      </c>
      <c r="C138" s="4" t="s">
        <v>284</v>
      </c>
      <c r="D138" s="5" t="n">
        <f aca="false">ROUNDUP(LEN(C138)/Predictor!$B$4,0)</f>
        <v>34</v>
      </c>
      <c r="E138" s="5" t="n">
        <f aca="false">ROUND(MAX(Predictor!$B$5,MIN(Predictor!$B$6,INDEX(Predictor!$B$12:$B$14,MATCH(B138,Predictor!$A$12:$A$14,0))*(1+Predictor!$B$7*SUMPRODUCT(--ISNUMBER(SEARCH(Predictor!$A$17:$A$35,C138))))/(1+Predictor!$B$8*SUMPRODUCT(--ISNUMBER(SEARCH(Predictor!$C$17:$C$21,C138)))))),0)</f>
        <v>980</v>
      </c>
      <c r="F138" s="2" t="str">
        <f aca="false">IF(E138&lt;=Predictor!$B$9,"interactive","batch")</f>
        <v>batch</v>
      </c>
      <c r="G138" s="6"/>
      <c r="H138" s="7" t="str">
        <f aca="false">IF(G138="","",ABS(E138-G138)/G138)</f>
        <v/>
      </c>
    </row>
    <row r="139" customFormat="false" ht="23.85" hidden="false" customHeight="false" outlineLevel="0" collapsed="false">
      <c r="A139" s="2" t="s">
        <v>285</v>
      </c>
      <c r="B139" s="9" t="s">
        <v>211</v>
      </c>
      <c r="C139" s="4" t="s">
        <v>286</v>
      </c>
      <c r="D139" s="5" t="n">
        <f aca="false">ROUNDUP(LEN(C139)/Predictor!$B$4,0)</f>
        <v>41</v>
      </c>
      <c r="E139" s="5" t="n">
        <f aca="false">ROUND(MAX(Predictor!$B$5,MIN(Predictor!$B$6,INDEX(Predictor!$B$12:$B$14,MATCH(B139,Predictor!$A$12:$A$14,0))*(1+Predictor!$B$7*SUMPRODUCT(--ISNUMBER(SEARCH(Predictor!$A$17:$A$35,C139))))/(1+Predictor!$B$8*SUMPRODUCT(--ISNUMBER(SEARCH(Predictor!$C$17:$C$21,C139)))))),0)</f>
        <v>840</v>
      </c>
      <c r="F139" s="2" t="str">
        <f aca="false">IF(E139&lt;=Predictor!$B$9,"interactive","batch")</f>
        <v>batch</v>
      </c>
      <c r="G139" s="6"/>
      <c r="H139" s="7" t="str">
        <f aca="false">IF(G139="","",ABS(E139-G139)/G139)</f>
        <v/>
      </c>
    </row>
    <row r="140" customFormat="false" ht="23.85" hidden="false" customHeight="false" outlineLevel="0" collapsed="false">
      <c r="A140" s="2" t="s">
        <v>287</v>
      </c>
      <c r="B140" s="9" t="s">
        <v>211</v>
      </c>
      <c r="C140" s="4" t="s">
        <v>288</v>
      </c>
      <c r="D140" s="5" t="n">
        <f aca="false">ROUNDUP(LEN(C140)/Predictor!$B$4,0)</f>
        <v>35</v>
      </c>
      <c r="E140" s="5" t="n">
        <f aca="false">ROUND(MAX(Predictor!$B$5,MIN(Predictor!$B$6,INDEX(Predictor!$B$12:$B$14,MATCH(B140,Predictor!$A$12:$A$14,0))*(1+Predictor!$B$7*SUMPRODUCT(--ISNUMBER(SEARCH(Predictor!$A$17:$A$35,C140))))/(1+Predictor!$B$8*SUMPRODUCT(--ISNUMBER(SEARCH(Predictor!$C$17:$C$21,C140)))))),0)</f>
        <v>980</v>
      </c>
      <c r="F140" s="2" t="str">
        <f aca="false">IF(E140&lt;=Predictor!$B$9,"interactive","batch")</f>
        <v>batch</v>
      </c>
      <c r="G140" s="6"/>
      <c r="H140" s="7" t="str">
        <f aca="false">IF(G140="","",ABS(E140-G140)/G140)</f>
        <v/>
      </c>
    </row>
    <row r="141" customFormat="false" ht="23.85" hidden="false" customHeight="false" outlineLevel="0" collapsed="false">
      <c r="A141" s="2" t="s">
        <v>289</v>
      </c>
      <c r="B141" s="9" t="s">
        <v>211</v>
      </c>
      <c r="C141" s="4" t="s">
        <v>290</v>
      </c>
      <c r="D141" s="5" t="n">
        <f aca="false">ROUNDUP(LEN(C141)/Predictor!$B$4,0)</f>
        <v>53</v>
      </c>
      <c r="E141" s="5" t="n">
        <f aca="false">ROUND(MAX(Predictor!$B$5,MIN(Predictor!$B$6,INDEX(Predictor!$B$12:$B$14,MATCH(B141,Predictor!$A$12:$A$14,0))*(1+Predictor!$B$7*SUMPRODUCT(--ISNUMBER(SEARCH(Predictor!$A$17:$A$35,C141))))/(1+Predictor!$B$8*SUMPRODUCT(--ISNUMBER(SEARCH(Predictor!$C$17:$C$21,C141)))))),0)</f>
        <v>840</v>
      </c>
      <c r="F141" s="2" t="str">
        <f aca="false">IF(E141&lt;=Predictor!$B$9,"interactive","batch")</f>
        <v>batch</v>
      </c>
      <c r="G141" s="6"/>
      <c r="H141" s="7" t="str">
        <f aca="false">IF(G141="","",ABS(E141-G141)/G141)</f>
        <v/>
      </c>
    </row>
    <row r="142" customFormat="false" ht="23.85" hidden="false" customHeight="false" outlineLevel="0" collapsed="false">
      <c r="A142" s="2" t="s">
        <v>291</v>
      </c>
      <c r="B142" s="9" t="s">
        <v>211</v>
      </c>
      <c r="C142" s="4" t="s">
        <v>292</v>
      </c>
      <c r="D142" s="5" t="n">
        <f aca="false">ROUNDUP(LEN(C142)/Predictor!$B$4,0)</f>
        <v>39</v>
      </c>
      <c r="E142" s="5" t="n">
        <f aca="false">ROUND(MAX(Predictor!$B$5,MIN(Predictor!$B$6,INDEX(Predictor!$B$12:$B$14,MATCH(B142,Predictor!$A$12:$A$14,0))*(1+Predictor!$B$7*SUMPRODUCT(--ISNUMBER(SEARCH(Predictor!$A$17:$A$35,C142))))/(1+Predictor!$B$8*SUMPRODUCT(--ISNUMBER(SEARCH(Predictor!$C$17:$C$21,C142)))))),0)</f>
        <v>1120</v>
      </c>
      <c r="F142" s="2" t="str">
        <f aca="false">IF(E142&lt;=Predictor!$B$9,"interactive","batch")</f>
        <v>batch</v>
      </c>
      <c r="G142" s="6"/>
      <c r="H142" s="7" t="str">
        <f aca="false">IF(G142="","",ABS(E142-G142)/G142)</f>
        <v/>
      </c>
    </row>
    <row r="143" customFormat="false" ht="23.85" hidden="false" customHeight="false" outlineLevel="0" collapsed="false">
      <c r="A143" s="2" t="s">
        <v>293</v>
      </c>
      <c r="B143" s="9" t="s">
        <v>211</v>
      </c>
      <c r="C143" s="4" t="s">
        <v>294</v>
      </c>
      <c r="D143" s="5" t="n">
        <f aca="false">ROUNDUP(LEN(C143)/Predictor!$B$4,0)</f>
        <v>36</v>
      </c>
      <c r="E143" s="5" t="n">
        <f aca="false">ROUND(MAX(Predictor!$B$5,MIN(Predictor!$B$6,INDEX(Predictor!$B$12:$B$14,MATCH(B143,Predictor!$A$12:$A$14,0))*(1+Predictor!$B$7*SUMPRODUCT(--ISNUMBER(SEARCH(Predictor!$A$17:$A$35,C143))))/(1+Predictor!$B$8*SUMPRODUCT(--ISNUMBER(SEARCH(Predictor!$C$17:$C$21,C143)))))),0)</f>
        <v>980</v>
      </c>
      <c r="F143" s="2" t="str">
        <f aca="false">IF(E143&lt;=Predictor!$B$9,"interactive","batch")</f>
        <v>batch</v>
      </c>
      <c r="G143" s="6"/>
      <c r="H143" s="7" t="str">
        <f aca="false">IF(G143="","",ABS(E143-G143)/G143)</f>
        <v/>
      </c>
    </row>
    <row r="144" customFormat="false" ht="23.85" hidden="false" customHeight="false" outlineLevel="0" collapsed="false">
      <c r="A144" s="2" t="s">
        <v>295</v>
      </c>
      <c r="B144" s="9" t="s">
        <v>211</v>
      </c>
      <c r="C144" s="4" t="s">
        <v>296</v>
      </c>
      <c r="D144" s="5" t="n">
        <f aca="false">ROUNDUP(LEN(C144)/Predictor!$B$4,0)</f>
        <v>35</v>
      </c>
      <c r="E144" s="5" t="n">
        <f aca="false">ROUND(MAX(Predictor!$B$5,MIN(Predictor!$B$6,INDEX(Predictor!$B$12:$B$14,MATCH(B144,Predictor!$A$12:$A$14,0))*(1+Predictor!$B$7*SUMPRODUCT(--ISNUMBER(SEARCH(Predictor!$A$17:$A$35,C144))))/(1+Predictor!$B$8*SUMPRODUCT(--ISNUMBER(SEARCH(Predictor!$C$17:$C$21,C144)))))),0)</f>
        <v>840</v>
      </c>
      <c r="F144" s="2" t="str">
        <f aca="false">IF(E144&lt;=Predictor!$B$9,"interactive","batch")</f>
        <v>batch</v>
      </c>
      <c r="G144" s="6"/>
      <c r="H144" s="7" t="str">
        <f aca="false">IF(G144="","",ABS(E144-G144)/G144)</f>
        <v/>
      </c>
    </row>
    <row r="145" customFormat="false" ht="23.85" hidden="false" customHeight="false" outlineLevel="0" collapsed="false">
      <c r="A145" s="2" t="s">
        <v>297</v>
      </c>
      <c r="B145" s="9" t="s">
        <v>211</v>
      </c>
      <c r="C145" s="4" t="s">
        <v>298</v>
      </c>
      <c r="D145" s="5" t="n">
        <f aca="false">ROUNDUP(LEN(C145)/Predictor!$B$4,0)</f>
        <v>36</v>
      </c>
      <c r="E145" s="5" t="n">
        <f aca="false">ROUND(MAX(Predictor!$B$5,MIN(Predictor!$B$6,INDEX(Predictor!$B$12:$B$14,MATCH(B145,Predictor!$A$12:$A$14,0))*(1+Predictor!$B$7*SUMPRODUCT(--ISNUMBER(SEARCH(Predictor!$A$17:$A$35,C145))))/(1+Predictor!$B$8*SUMPRODUCT(--ISNUMBER(SEARCH(Predictor!$C$17:$C$21,C145)))))),0)</f>
        <v>980</v>
      </c>
      <c r="F145" s="2" t="str">
        <f aca="false">IF(E145&lt;=Predictor!$B$9,"interactive","batch")</f>
        <v>batch</v>
      </c>
      <c r="G145" s="6"/>
      <c r="H145" s="7" t="str">
        <f aca="false">IF(G145="","",ABS(E145-G145)/G145)</f>
        <v/>
      </c>
    </row>
    <row r="146" customFormat="false" ht="23.85" hidden="false" customHeight="false" outlineLevel="0" collapsed="false">
      <c r="A146" s="2" t="s">
        <v>299</v>
      </c>
      <c r="B146" s="9" t="s">
        <v>211</v>
      </c>
      <c r="C146" s="4" t="s">
        <v>300</v>
      </c>
      <c r="D146" s="5" t="n">
        <f aca="false">ROUNDUP(LEN(C146)/Predictor!$B$4,0)</f>
        <v>29</v>
      </c>
      <c r="E146" s="5" t="n">
        <f aca="false">ROUND(MAX(Predictor!$B$5,MIN(Predictor!$B$6,INDEX(Predictor!$B$12:$B$14,MATCH(B146,Predictor!$A$12:$A$14,0))*(1+Predictor!$B$7*SUMPRODUCT(--ISNUMBER(SEARCH(Predictor!$A$17:$A$35,C146))))/(1+Predictor!$B$8*SUMPRODUCT(--ISNUMBER(SEARCH(Predictor!$C$17:$C$21,C146)))))),0)</f>
        <v>1260</v>
      </c>
      <c r="F146" s="2" t="str">
        <f aca="false">IF(E146&lt;=Predictor!$B$9,"interactive","batch")</f>
        <v>batch</v>
      </c>
      <c r="G146" s="6"/>
      <c r="H146" s="7" t="str">
        <f aca="false">IF(G146="","",ABS(E146-G146)/G146)</f>
        <v/>
      </c>
    </row>
    <row r="147" customFormat="false" ht="23.85" hidden="false" customHeight="false" outlineLevel="0" collapsed="false">
      <c r="A147" s="2" t="s">
        <v>301</v>
      </c>
      <c r="B147" s="9" t="s">
        <v>211</v>
      </c>
      <c r="C147" s="4" t="s">
        <v>302</v>
      </c>
      <c r="D147" s="5" t="n">
        <f aca="false">ROUNDUP(LEN(C147)/Predictor!$B$4,0)</f>
        <v>34</v>
      </c>
      <c r="E147" s="5" t="n">
        <f aca="false">ROUND(MAX(Predictor!$B$5,MIN(Predictor!$B$6,INDEX(Predictor!$B$12:$B$14,MATCH(B147,Predictor!$A$12:$A$14,0))*(1+Predictor!$B$7*SUMPRODUCT(--ISNUMBER(SEARCH(Predictor!$A$17:$A$35,C147))))/(1+Predictor!$B$8*SUMPRODUCT(--ISNUMBER(SEARCH(Predictor!$C$17:$C$21,C147)))))),0)</f>
        <v>980</v>
      </c>
      <c r="F147" s="2" t="str">
        <f aca="false">IF(E147&lt;=Predictor!$B$9,"interactive","batch")</f>
        <v>batch</v>
      </c>
      <c r="G147" s="6"/>
      <c r="H147" s="7" t="str">
        <f aca="false">IF(G147="","",ABS(E147-G147)/G147)</f>
        <v/>
      </c>
    </row>
    <row r="148" customFormat="false" ht="23.85" hidden="false" customHeight="false" outlineLevel="0" collapsed="false">
      <c r="A148" s="2" t="s">
        <v>303</v>
      </c>
      <c r="B148" s="9" t="s">
        <v>211</v>
      </c>
      <c r="C148" s="4" t="s">
        <v>304</v>
      </c>
      <c r="D148" s="5" t="n">
        <f aca="false">ROUNDUP(LEN(C148)/Predictor!$B$4,0)</f>
        <v>32</v>
      </c>
      <c r="E148" s="5" t="n">
        <f aca="false">ROUND(MAX(Predictor!$B$5,MIN(Predictor!$B$6,INDEX(Predictor!$B$12:$B$14,MATCH(B148,Predictor!$A$12:$A$14,0))*(1+Predictor!$B$7*SUMPRODUCT(--ISNUMBER(SEARCH(Predictor!$A$17:$A$35,C148))))/(1+Predictor!$B$8*SUMPRODUCT(--ISNUMBER(SEARCH(Predictor!$C$17:$C$21,C148)))))),0)</f>
        <v>1120</v>
      </c>
      <c r="F148" s="2" t="str">
        <f aca="false">IF(E148&lt;=Predictor!$B$9,"interactive","batch")</f>
        <v>batch</v>
      </c>
      <c r="G148" s="6"/>
      <c r="H148" s="7" t="str">
        <f aca="false">IF(G148="","",ABS(E148-G148)/G148)</f>
        <v/>
      </c>
    </row>
    <row r="149" customFormat="false" ht="23.85" hidden="false" customHeight="false" outlineLevel="0" collapsed="false">
      <c r="A149" s="2" t="s">
        <v>305</v>
      </c>
      <c r="B149" s="9" t="s">
        <v>211</v>
      </c>
      <c r="C149" s="4" t="s">
        <v>306</v>
      </c>
      <c r="D149" s="5" t="n">
        <f aca="false">ROUNDUP(LEN(C149)/Predictor!$B$4,0)</f>
        <v>37</v>
      </c>
      <c r="E149" s="5" t="n">
        <f aca="false">ROUND(MAX(Predictor!$B$5,MIN(Predictor!$B$6,INDEX(Predictor!$B$12:$B$14,MATCH(B149,Predictor!$A$12:$A$14,0))*(1+Predictor!$B$7*SUMPRODUCT(--ISNUMBER(SEARCH(Predictor!$A$17:$A$35,C149))))/(1+Predictor!$B$8*SUMPRODUCT(--ISNUMBER(SEARCH(Predictor!$C$17:$C$21,C149)))))),0)</f>
        <v>980</v>
      </c>
      <c r="F149" s="2" t="str">
        <f aca="false">IF(E149&lt;=Predictor!$B$9,"interactive","batch")</f>
        <v>batch</v>
      </c>
      <c r="G149" s="6"/>
      <c r="H149" s="7" t="str">
        <f aca="false">IF(G149="","",ABS(E149-G149)/G149)</f>
        <v/>
      </c>
    </row>
    <row r="150" customFormat="false" ht="23.85" hidden="false" customHeight="false" outlineLevel="0" collapsed="false">
      <c r="A150" s="2" t="s">
        <v>307</v>
      </c>
      <c r="B150" s="9" t="s">
        <v>211</v>
      </c>
      <c r="C150" s="4" t="s">
        <v>308</v>
      </c>
      <c r="D150" s="5" t="n">
        <f aca="false">ROUNDUP(LEN(C150)/Predictor!$B$4,0)</f>
        <v>32</v>
      </c>
      <c r="E150" s="5" t="n">
        <f aca="false">ROUND(MAX(Predictor!$B$5,MIN(Predictor!$B$6,INDEX(Predictor!$B$12:$B$14,MATCH(B150,Predictor!$A$12:$A$14,0))*(1+Predictor!$B$7*SUMPRODUCT(--ISNUMBER(SEARCH(Predictor!$A$17:$A$35,C150))))/(1+Predictor!$B$8*SUMPRODUCT(--ISNUMBER(SEARCH(Predictor!$C$17:$C$21,C150)))))),0)</f>
        <v>840</v>
      </c>
      <c r="F150" s="2" t="str">
        <f aca="false">IF(E150&lt;=Predictor!$B$9,"interactive","batch")</f>
        <v>batch</v>
      </c>
      <c r="G150" s="6"/>
      <c r="H150" s="7" t="str">
        <f aca="false">IF(G150="","",ABS(E150-G150)/G150)</f>
        <v/>
      </c>
    </row>
    <row r="151" customFormat="false" ht="23.85" hidden="false" customHeight="false" outlineLevel="0" collapsed="false">
      <c r="A151" s="2" t="s">
        <v>309</v>
      </c>
      <c r="B151" s="9" t="s">
        <v>211</v>
      </c>
      <c r="C151" s="4" t="s">
        <v>310</v>
      </c>
      <c r="D151" s="5" t="n">
        <f aca="false">ROUNDUP(LEN(C151)/Predictor!$B$4,0)</f>
        <v>41</v>
      </c>
      <c r="E151" s="5" t="n">
        <f aca="false">ROUND(MAX(Predictor!$B$5,MIN(Predictor!$B$6,INDEX(Predictor!$B$12:$B$14,MATCH(B151,Predictor!$A$12:$A$14,0))*(1+Predictor!$B$7*SUMPRODUCT(--ISNUMBER(SEARCH(Predictor!$A$17:$A$35,C151))))/(1+Predictor!$B$8*SUMPRODUCT(--ISNUMBER(SEARCH(Predictor!$C$17:$C$21,C151)))))),0)</f>
        <v>840</v>
      </c>
      <c r="F151" s="2" t="str">
        <f aca="false">IF(E151&lt;=Predictor!$B$9,"interactive","batch")</f>
        <v>batch</v>
      </c>
      <c r="G151" s="6"/>
      <c r="H151" s="7" t="str">
        <f aca="false">IF(G151="","",ABS(E151-G151)/G151)</f>
        <v/>
      </c>
    </row>
  </sheetData>
  <autoFilter ref="A1:H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90"/>
  </cols>
  <sheetData>
    <row r="1" customFormat="false" ht="16.15" hidden="false" customHeight="false" outlineLevel="0" collapsed="false">
      <c r="A1" s="10" t="s">
        <v>311</v>
      </c>
      <c r="B1" s="11"/>
      <c r="C1" s="11"/>
    </row>
    <row r="2" customFormat="false" ht="15" hidden="false" customHeight="false" outlineLevel="0" collapsed="false">
      <c r="A2" s="11"/>
      <c r="B2" s="11"/>
      <c r="C2" s="11"/>
    </row>
    <row r="3" customFormat="false" ht="15" hidden="false" customHeight="false" outlineLevel="0" collapsed="false">
      <c r="A3" s="12" t="s">
        <v>312</v>
      </c>
      <c r="B3" s="12" t="s">
        <v>313</v>
      </c>
      <c r="C3" s="12" t="s">
        <v>314</v>
      </c>
    </row>
    <row r="4" customFormat="false" ht="23.85" hidden="false" customHeight="false" outlineLevel="0" collapsed="false">
      <c r="A4" s="11" t="s">
        <v>315</v>
      </c>
      <c r="B4" s="13" t="n">
        <v>4</v>
      </c>
      <c r="C4" s="14" t="s">
        <v>316</v>
      </c>
    </row>
    <row r="5" customFormat="false" ht="15" hidden="false" customHeight="false" outlineLevel="0" collapsed="false">
      <c r="A5" s="11" t="s">
        <v>317</v>
      </c>
      <c r="B5" s="13" t="n">
        <v>5</v>
      </c>
      <c r="C5" s="14" t="s">
        <v>318</v>
      </c>
    </row>
    <row r="6" customFormat="false" ht="15" hidden="false" customHeight="false" outlineLevel="0" collapsed="false">
      <c r="A6" s="11" t="s">
        <v>319</v>
      </c>
      <c r="B6" s="13" t="n">
        <v>1500</v>
      </c>
      <c r="C6" s="14" t="s">
        <v>320</v>
      </c>
    </row>
    <row r="7" customFormat="false" ht="15" hidden="false" customHeight="false" outlineLevel="0" collapsed="false">
      <c r="A7" s="11" t="s">
        <v>321</v>
      </c>
      <c r="B7" s="15" t="n">
        <v>0.2</v>
      </c>
      <c r="C7" s="14" t="s">
        <v>322</v>
      </c>
    </row>
    <row r="8" customFormat="false" ht="15" hidden="false" customHeight="false" outlineLevel="0" collapsed="false">
      <c r="A8" s="11" t="s">
        <v>323</v>
      </c>
      <c r="B8" s="15" t="n">
        <v>0.5</v>
      </c>
      <c r="C8" s="14" t="s">
        <v>324</v>
      </c>
    </row>
    <row r="9" customFormat="false" ht="15" hidden="false" customHeight="false" outlineLevel="0" collapsed="false">
      <c r="A9" s="11" t="s">
        <v>325</v>
      </c>
      <c r="B9" s="13" t="n">
        <v>100</v>
      </c>
      <c r="C9" s="14" t="s">
        <v>326</v>
      </c>
    </row>
    <row r="10" customFormat="false" ht="15" hidden="false" customHeight="false" outlineLevel="0" collapsed="false">
      <c r="A10" s="11"/>
      <c r="B10" s="11"/>
      <c r="C10" s="11"/>
    </row>
    <row r="11" customFormat="false" ht="15" hidden="false" customHeight="false" outlineLevel="0" collapsed="false">
      <c r="A11" s="12" t="s">
        <v>1</v>
      </c>
      <c r="B11" s="12" t="s">
        <v>327</v>
      </c>
      <c r="C11" s="12" t="s">
        <v>314</v>
      </c>
    </row>
    <row r="12" customFormat="false" ht="15" hidden="false" customHeight="false" outlineLevel="0" collapsed="false">
      <c r="A12" s="11" t="s">
        <v>9</v>
      </c>
      <c r="B12" s="13" t="n">
        <v>30</v>
      </c>
      <c r="C12" s="14" t="s">
        <v>328</v>
      </c>
    </row>
    <row r="13" customFormat="false" ht="15" hidden="false" customHeight="false" outlineLevel="0" collapsed="false">
      <c r="A13" s="11" t="s">
        <v>110</v>
      </c>
      <c r="B13" s="13" t="n">
        <v>200</v>
      </c>
      <c r="C13" s="14" t="s">
        <v>328</v>
      </c>
    </row>
    <row r="14" customFormat="false" ht="15" hidden="false" customHeight="false" outlineLevel="0" collapsed="false">
      <c r="A14" s="11" t="s">
        <v>211</v>
      </c>
      <c r="B14" s="13" t="n">
        <v>700</v>
      </c>
      <c r="C14" s="14" t="s">
        <v>328</v>
      </c>
    </row>
    <row r="15" customFormat="false" ht="15" hidden="false" customHeight="false" outlineLevel="0" collapsed="false">
      <c r="A15" s="11"/>
      <c r="B15" s="11"/>
      <c r="C15" s="11"/>
    </row>
    <row r="16" customFormat="false" ht="15" hidden="false" customHeight="false" outlineLevel="0" collapsed="false">
      <c r="A16" s="12" t="s">
        <v>329</v>
      </c>
      <c r="B16" s="11"/>
      <c r="C16" s="12" t="s">
        <v>330</v>
      </c>
    </row>
    <row r="17" customFormat="false" ht="15" hidden="false" customHeight="false" outlineLevel="0" collapsed="false">
      <c r="A17" s="13" t="s">
        <v>331</v>
      </c>
      <c r="B17" s="11"/>
      <c r="C17" s="13" t="s">
        <v>332</v>
      </c>
    </row>
    <row r="18" customFormat="false" ht="15" hidden="false" customHeight="false" outlineLevel="0" collapsed="false">
      <c r="A18" s="13" t="s">
        <v>333</v>
      </c>
      <c r="B18" s="11"/>
      <c r="C18" s="13" t="s">
        <v>334</v>
      </c>
    </row>
    <row r="19" customFormat="false" ht="15" hidden="false" customHeight="false" outlineLevel="0" collapsed="false">
      <c r="A19" s="13" t="s">
        <v>335</v>
      </c>
      <c r="B19" s="11"/>
      <c r="C19" s="13" t="s">
        <v>336</v>
      </c>
    </row>
    <row r="20" customFormat="false" ht="15" hidden="false" customHeight="false" outlineLevel="0" collapsed="false">
      <c r="A20" s="13" t="s">
        <v>337</v>
      </c>
      <c r="B20" s="11"/>
      <c r="C20" s="13" t="s">
        <v>338</v>
      </c>
    </row>
    <row r="21" customFormat="false" ht="15" hidden="false" customHeight="false" outlineLevel="0" collapsed="false">
      <c r="A21" s="13" t="s">
        <v>339</v>
      </c>
      <c r="B21" s="11"/>
      <c r="C21" s="13" t="s">
        <v>340</v>
      </c>
    </row>
    <row r="22" customFormat="false" ht="15" hidden="false" customHeight="false" outlineLevel="0" collapsed="false">
      <c r="A22" s="13" t="s">
        <v>341</v>
      </c>
      <c r="B22" s="11"/>
      <c r="C22" s="11"/>
    </row>
    <row r="23" customFormat="false" ht="15" hidden="false" customHeight="false" outlineLevel="0" collapsed="false">
      <c r="A23" s="13" t="s">
        <v>342</v>
      </c>
      <c r="B23" s="11"/>
      <c r="C23" s="11"/>
    </row>
    <row r="24" customFormat="false" ht="15" hidden="false" customHeight="false" outlineLevel="0" collapsed="false">
      <c r="A24" s="13" t="s">
        <v>343</v>
      </c>
      <c r="B24" s="11"/>
      <c r="C24" s="11"/>
    </row>
    <row r="25" customFormat="false" ht="15" hidden="false" customHeight="false" outlineLevel="0" collapsed="false">
      <c r="A25" s="13" t="s">
        <v>344</v>
      </c>
      <c r="B25" s="11"/>
      <c r="C25" s="11"/>
    </row>
    <row r="26" customFormat="false" ht="15" hidden="false" customHeight="false" outlineLevel="0" collapsed="false">
      <c r="A26" s="13" t="s">
        <v>345</v>
      </c>
      <c r="B26" s="11"/>
      <c r="C26" s="11"/>
    </row>
    <row r="27" customFormat="false" ht="15" hidden="false" customHeight="false" outlineLevel="0" collapsed="false">
      <c r="A27" s="13" t="s">
        <v>346</v>
      </c>
      <c r="B27" s="11"/>
      <c r="C27" s="11"/>
    </row>
    <row r="28" customFormat="false" ht="15" hidden="false" customHeight="false" outlineLevel="0" collapsed="false">
      <c r="A28" s="13" t="s">
        <v>347</v>
      </c>
      <c r="B28" s="11"/>
      <c r="C28" s="11"/>
    </row>
    <row r="29" customFormat="false" ht="15" hidden="false" customHeight="false" outlineLevel="0" collapsed="false">
      <c r="A29" s="13" t="s">
        <v>348</v>
      </c>
      <c r="B29" s="11"/>
      <c r="C29" s="11"/>
    </row>
    <row r="30" customFormat="false" ht="15" hidden="false" customHeight="false" outlineLevel="0" collapsed="false">
      <c r="A30" s="13" t="s">
        <v>349</v>
      </c>
      <c r="B30" s="11"/>
      <c r="C30" s="11"/>
    </row>
    <row r="31" customFormat="false" ht="15" hidden="false" customHeight="false" outlineLevel="0" collapsed="false">
      <c r="A31" s="13" t="s">
        <v>350</v>
      </c>
      <c r="B31" s="11"/>
      <c r="C31" s="11"/>
    </row>
    <row r="32" customFormat="false" ht="15" hidden="false" customHeight="false" outlineLevel="0" collapsed="false">
      <c r="A32" s="13" t="s">
        <v>351</v>
      </c>
      <c r="B32" s="11"/>
      <c r="C32" s="11"/>
    </row>
    <row r="33" customFormat="false" ht="15" hidden="false" customHeight="false" outlineLevel="0" collapsed="false">
      <c r="A33" s="13" t="s">
        <v>352</v>
      </c>
      <c r="B33" s="11"/>
      <c r="C33" s="11"/>
    </row>
    <row r="34" customFormat="false" ht="15" hidden="false" customHeight="false" outlineLevel="0" collapsed="false">
      <c r="A34" s="13" t="s">
        <v>353</v>
      </c>
      <c r="B34" s="11"/>
      <c r="C34" s="11"/>
    </row>
    <row r="35" customFormat="false" ht="15" hidden="false" customHeight="false" outlineLevel="0" collapsed="false">
      <c r="A35" s="13" t="s">
        <v>354</v>
      </c>
      <c r="B35" s="11"/>
      <c r="C35" s="11"/>
    </row>
    <row r="36" customFormat="false" ht="15" hidden="false" customHeight="false" outlineLevel="0" collapsed="false">
      <c r="A36" s="11"/>
      <c r="B36" s="11"/>
      <c r="C36" s="11"/>
    </row>
    <row r="37" customFormat="false" ht="15" hidden="false" customHeight="false" outlineLevel="0" collapsed="false">
      <c r="A37" s="11"/>
      <c r="B37" s="11"/>
      <c r="C37" s="11"/>
    </row>
    <row r="38" customFormat="false" ht="15" hidden="false" customHeight="false" outlineLevel="0" collapsed="false">
      <c r="A38" s="16" t="s">
        <v>355</v>
      </c>
      <c r="B38" s="11"/>
      <c r="C38"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6" min="2" style="0" width="18"/>
  </cols>
  <sheetData>
    <row r="1" customFormat="false" ht="16.15" hidden="false" customHeight="false" outlineLevel="0" collapsed="false">
      <c r="A1" s="10" t="s">
        <v>356</v>
      </c>
    </row>
    <row r="3" customFormat="false" ht="45" hidden="false" customHeight="true" outlineLevel="0" collapsed="false">
      <c r="A3" s="1" t="s">
        <v>1</v>
      </c>
      <c r="B3" s="1" t="s">
        <v>357</v>
      </c>
      <c r="C3" s="1" t="s">
        <v>358</v>
      </c>
      <c r="D3" s="1" t="s">
        <v>359</v>
      </c>
      <c r="E3" s="1" t="s">
        <v>360</v>
      </c>
      <c r="F3" s="1" t="s">
        <v>361</v>
      </c>
    </row>
    <row r="4" customFormat="false" ht="15" hidden="false" customHeight="false" outlineLevel="0" collapsed="false">
      <c r="A4" s="17" t="s">
        <v>9</v>
      </c>
      <c r="B4" s="17" t="n">
        <f aca="false">COUNTIF(Questions!$B$2:$B$151,A4)</f>
        <v>50</v>
      </c>
      <c r="C4" s="18" t="n">
        <f aca="false">AVERAGEIF(Questions!$B$2:$B$151,A4,Questions!$D$2:$D$151)</f>
        <v>9</v>
      </c>
      <c r="D4" s="18" t="n">
        <f aca="false">AVERAGEIF(Questions!$B$2:$B$151,A4,Questions!$E$2:$E$151)</f>
        <v>30</v>
      </c>
      <c r="E4" s="18" t="n">
        <f aca="false">SUMIF(Questions!$B$2:$B$151,A4,Questions!$E$2:$E$151)</f>
        <v>1500</v>
      </c>
      <c r="F4" s="18" t="n">
        <f aca="false">COUNTIFS(Questions!$B$2:$B$151,A4,Questions!$F$2:$F$151,"interactive")</f>
        <v>50</v>
      </c>
    </row>
    <row r="5" customFormat="false" ht="15" hidden="false" customHeight="false" outlineLevel="0" collapsed="false">
      <c r="A5" s="17" t="s">
        <v>110</v>
      </c>
      <c r="B5" s="17" t="n">
        <f aca="false">COUNTIF(Questions!$B$2:$B$151,A5)</f>
        <v>50</v>
      </c>
      <c r="C5" s="18" t="n">
        <f aca="false">AVERAGEIF(Questions!$B$2:$B$151,A5,Questions!$D$2:$D$151)</f>
        <v>15.74</v>
      </c>
      <c r="D5" s="18" t="n">
        <f aca="false">AVERAGEIF(Questions!$B$2:$B$151,A5,Questions!$E$2:$E$151)</f>
        <v>246.14</v>
      </c>
      <c r="E5" s="18" t="n">
        <f aca="false">SUMIF(Questions!$B$2:$B$151,A5,Questions!$E$2:$E$151)</f>
        <v>12307</v>
      </c>
      <c r="F5" s="18" t="n">
        <f aca="false">COUNTIFS(Questions!$B$2:$B$151,A5,Questions!$F$2:$F$151,"interactive")</f>
        <v>0</v>
      </c>
    </row>
    <row r="6" customFormat="false" ht="15" hidden="false" customHeight="false" outlineLevel="0" collapsed="false">
      <c r="A6" s="17" t="s">
        <v>211</v>
      </c>
      <c r="B6" s="17" t="n">
        <f aca="false">COUNTIF(Questions!$B$2:$B$151,A6)</f>
        <v>50</v>
      </c>
      <c r="C6" s="18" t="n">
        <f aca="false">AVERAGEIF(Questions!$B$2:$B$151,A6,Questions!$D$2:$D$151)</f>
        <v>34.3</v>
      </c>
      <c r="D6" s="18" t="n">
        <f aca="false">AVERAGEIF(Questions!$B$2:$B$151,A6,Questions!$E$2:$E$151)</f>
        <v>988.4</v>
      </c>
      <c r="E6" s="18" t="n">
        <f aca="false">SUMIF(Questions!$B$2:$B$151,A6,Questions!$E$2:$E$151)</f>
        <v>49420</v>
      </c>
      <c r="F6" s="18" t="n">
        <f aca="false">COUNTIFS(Questions!$B$2:$B$151,A6,Questions!$F$2:$F$151,"interactive")</f>
        <v>0</v>
      </c>
    </row>
    <row r="7" customFormat="false" ht="15" hidden="false" customHeight="false" outlineLevel="0" collapsed="false">
      <c r="A7" s="19" t="s">
        <v>362</v>
      </c>
      <c r="B7" s="19" t="n">
        <f aca="false">SUM(B4:B6)</f>
        <v>150</v>
      </c>
      <c r="C7" s="20" t="n">
        <f aca="false">AVERAGE(Questions!$D$2:$D$151)</f>
        <v>19.68</v>
      </c>
      <c r="D7" s="20" t="n">
        <f aca="false">AVERAGE(Questions!$E$2:$E$151)</f>
        <v>421.513333333333</v>
      </c>
      <c r="E7" s="20" t="n">
        <f aca="false">SUM(E4:E6)</f>
        <v>63227</v>
      </c>
      <c r="F7" s="20" t="n">
        <f aca="false">SUM(F4:F6)</f>
        <v>50</v>
      </c>
    </row>
    <row r="10" customFormat="false" ht="15" hidden="false" customHeight="false" outlineLevel="0" collapsed="false">
      <c r="A10" s="21" t="s">
        <v>363</v>
      </c>
    </row>
    <row r="11" customFormat="false" ht="15" hidden="false" customHeight="false" outlineLevel="0" collapsed="false">
      <c r="A11" s="11" t="s">
        <v>364</v>
      </c>
      <c r="B11" s="11" t="n">
        <f aca="false">COUNT(Questions!$G$2:$G$151)</f>
        <v>0</v>
      </c>
    </row>
    <row r="12" customFormat="false" ht="15" hidden="false" customHeight="false" outlineLevel="0" collapsed="false">
      <c r="A12" s="11" t="s">
        <v>365</v>
      </c>
      <c r="B12" s="22" t="str">
        <f aca="false">IFERROR(AVERAGE(Questions!$H$2:$H$151),"fill column G first")</f>
        <v>fill column G first</v>
      </c>
    </row>
    <row r="13" customFormat="false" ht="15" hidden="false" customHeight="false" outlineLevel="0" collapsed="false">
      <c r="A13" s="11" t="s">
        <v>366</v>
      </c>
      <c r="B13" s="23" t="str">
        <f aca="false">IFERROR(SUM(Questions!$G$2:$G$151)/SUMIF(Questions!$G$2:$G$151,"&gt;0",Questions!$E$2:$E$151),"fill column G first")</f>
        <v>fill column G first</v>
      </c>
    </row>
    <row r="14" customFormat="false" ht="15" hidden="false" customHeight="false" outlineLevel="0" collapsed="false">
      <c r="A14" s="16" t="s">
        <v>367</v>
      </c>
      <c r="B1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6.15" hidden="false" customHeight="false" outlineLevel="0" collapsed="false">
      <c r="A1" s="24" t="s">
        <v>368</v>
      </c>
    </row>
    <row r="2" customFormat="false" ht="15" hidden="false" customHeight="false" outlineLevel="0" collapsed="false">
      <c r="A2" s="14"/>
    </row>
    <row r="3" customFormat="false" ht="15" hidden="false" customHeight="false" outlineLevel="0" collapsed="false">
      <c r="A3" s="25" t="s">
        <v>369</v>
      </c>
    </row>
    <row r="4" customFormat="false" ht="15" hidden="false" customHeight="false" outlineLevel="0" collapsed="false">
      <c r="A4" s="14" t="s">
        <v>370</v>
      </c>
    </row>
    <row r="5" customFormat="false" ht="15" hidden="false" customHeight="false" outlineLevel="0" collapsed="false">
      <c r="A5" s="14"/>
    </row>
    <row r="6" customFormat="false" ht="15" hidden="false" customHeight="false" outlineLevel="0" collapsed="false">
      <c r="A6" s="25" t="s">
        <v>371</v>
      </c>
    </row>
    <row r="7" customFormat="false" ht="15" hidden="false" customHeight="false" outlineLevel="0" collapsed="false">
      <c r="A7" s="14" t="s">
        <v>372</v>
      </c>
    </row>
    <row r="8" customFormat="false" ht="15" hidden="false" customHeight="false" outlineLevel="0" collapsed="false">
      <c r="A8" s="14" t="s">
        <v>373</v>
      </c>
    </row>
    <row r="9" customFormat="false" ht="15" hidden="false" customHeight="false" outlineLevel="0" collapsed="false">
      <c r="A9" s="14" t="s">
        <v>374</v>
      </c>
    </row>
    <row r="10" customFormat="false" ht="15" hidden="false" customHeight="false" outlineLevel="0" collapsed="false">
      <c r="A10" s="14" t="s">
        <v>375</v>
      </c>
    </row>
    <row r="11" customFormat="false" ht="15" hidden="false" customHeight="false" outlineLevel="0" collapsed="false">
      <c r="A11" s="14" t="s">
        <v>376</v>
      </c>
    </row>
    <row r="12" customFormat="false" ht="15" hidden="false" customHeight="false" outlineLevel="0" collapsed="false">
      <c r="A12" s="14"/>
    </row>
    <row r="13" customFormat="false" ht="15" hidden="false" customHeight="false" outlineLevel="0" collapsed="false">
      <c r="A13" s="25" t="s">
        <v>377</v>
      </c>
    </row>
    <row r="14" customFormat="false" ht="15" hidden="false" customHeight="false" outlineLevel="0" collapsed="false">
      <c r="A14" s="14" t="s">
        <v>378</v>
      </c>
    </row>
    <row r="15" customFormat="false" ht="15" hidden="false" customHeight="false" outlineLevel="0" collapsed="false">
      <c r="A15" s="14"/>
    </row>
    <row r="16" customFormat="false" ht="15" hidden="false" customHeight="false" outlineLevel="0" collapsed="false">
      <c r="A16" s="25" t="s">
        <v>379</v>
      </c>
    </row>
    <row r="17" customFormat="false" ht="15" hidden="false" customHeight="false" outlineLevel="0" collapsed="false">
      <c r="A17" s="14" t="s">
        <v>380</v>
      </c>
    </row>
    <row r="18" customFormat="false" ht="15" hidden="false" customHeight="false" outlineLevel="0" collapsed="false">
      <c r="A18" s="14" t="s">
        <v>381</v>
      </c>
    </row>
    <row r="19" customFormat="false" ht="15" hidden="false" customHeight="false" outlineLevel="0" collapsed="false">
      <c r="A19" s="14" t="s">
        <v>382</v>
      </c>
    </row>
    <row r="20" customFormat="false" ht="15" hidden="false" customHeight="false" outlineLevel="0" collapsed="false">
      <c r="A20" s="14" t="s">
        <v>383</v>
      </c>
    </row>
    <row r="21" customFormat="false" ht="15" hidden="false" customHeight="false" outlineLevel="0" collapsed="false">
      <c r="A21" s="14"/>
    </row>
    <row r="22" customFormat="false" ht="15" hidden="false" customHeight="false" outlineLevel="0" collapsed="false">
      <c r="A22" s="25" t="s">
        <v>384</v>
      </c>
    </row>
    <row r="23" customFormat="false" ht="23.85" hidden="false" customHeight="false" outlineLevel="0" collapsed="false">
      <c r="A23" s="14" t="s">
        <v>385</v>
      </c>
    </row>
    <row r="24" customFormat="false" ht="15" hidden="false" customHeight="false" outlineLevel="0" collapsed="false">
      <c r="A24" s="14"/>
    </row>
    <row r="25" customFormat="false" ht="15" hidden="false" customHeight="false" outlineLevel="0" collapsed="false">
      <c r="A25" s="26" t="s">
        <v>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2026-10-09T20:55:37Z</dcterms:created>
  <dc:creator>openpyxl</dc:creator>
  <dc:description/>
  <dc:language>en-US</dc:language>
  <cp:lastModifiedBy/>
  <dcterms:modified xsi:type="dcterms:W3CDTF">2026-10-09T20:55:37Z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